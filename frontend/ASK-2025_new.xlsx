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/>
  <xr:revisionPtr revIDLastSave="0" documentId="13_ncr:1_{7DA9C90A-FCFC-4199-A979-90AC9F50F92F}" xr6:coauthVersionLast="47" xr6:coauthVersionMax="47" xr10:uidLastSave="{00000000-0000-0000-0000-000000000000}"/>
  <bookViews>
    <workbookView xWindow="0" yWindow="0" windowWidth="23040" windowHeight="14400" activeTab="2" xr2:uid="{00000000-000D-0000-FFFF-FFFF00000000}"/>
  </bookViews>
  <sheets>
    <sheet name="HT" sheetId="1" r:id="rId1"/>
    <sheet name="ESTATE" sheetId="2" r:id="rId2"/>
    <sheet name="BOX DETAILS" sheetId="3" r:id="rId3"/>
    <sheet name="SMR" sheetId="4" r:id="rId4"/>
  </sheets>
  <externalReferences>
    <externalReference r:id="rId5"/>
  </externalReferences>
  <definedNames>
    <definedName name="_xlnm._FilterDatabase" localSheetId="1" hidden="1">ESTATE!$A$1:$Z$1412</definedName>
    <definedName name="_xlnm._FilterDatabase" localSheetId="0" hidden="1">HT!$A$1:$K$1043</definedName>
    <definedName name="_xlnm._FilterDatabase" localSheetId="3" hidden="1">SMR!$A$1:$J$93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7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B137" i="1" a="1"/>
  <c r="B137" i="1" s="1"/>
  <c r="C3" i="3"/>
  <c r="C1411" i="2"/>
  <c r="G1411" i="2"/>
  <c r="H97" i="4"/>
  <c r="H96" i="4"/>
  <c r="H95" i="4"/>
  <c r="H98" i="4" s="1"/>
  <c r="G93" i="4"/>
  <c r="F93" i="4"/>
  <c r="E1012" i="1"/>
  <c r="H1012" i="1"/>
  <c r="C1012" i="1"/>
  <c r="G22" i="1"/>
  <c r="G33" i="1"/>
  <c r="G35" i="1"/>
  <c r="G50" i="1"/>
  <c r="G69" i="1"/>
  <c r="G85" i="1"/>
  <c r="G92" i="1"/>
  <c r="G102" i="1"/>
  <c r="G105" i="1"/>
  <c r="G140" i="1"/>
  <c r="G157" i="1"/>
  <c r="G164" i="1"/>
  <c r="G171" i="1"/>
  <c r="G181" i="1"/>
  <c r="G197" i="1"/>
  <c r="G206" i="1"/>
  <c r="G249" i="1"/>
  <c r="G266" i="1"/>
  <c r="G267" i="1"/>
  <c r="G271" i="1"/>
  <c r="G289" i="1"/>
  <c r="G309" i="1"/>
  <c r="G313" i="1"/>
  <c r="G315" i="1"/>
  <c r="G338" i="1"/>
  <c r="G341" i="1"/>
  <c r="G360" i="1"/>
  <c r="G369" i="1"/>
  <c r="G383" i="1"/>
  <c r="G385" i="1"/>
  <c r="G392" i="1"/>
  <c r="G404" i="1"/>
  <c r="G421" i="1"/>
  <c r="G424" i="1"/>
  <c r="G428" i="1"/>
  <c r="G436" i="1"/>
  <c r="G437" i="1"/>
  <c r="G448" i="1"/>
  <c r="G457" i="1"/>
  <c r="G458" i="1"/>
  <c r="G462" i="1"/>
  <c r="G476" i="1"/>
  <c r="G490" i="1"/>
  <c r="G493" i="1"/>
  <c r="G510" i="1"/>
  <c r="G521" i="1"/>
  <c r="G549" i="1"/>
  <c r="G552" i="1"/>
  <c r="G570" i="1"/>
  <c r="G606" i="1"/>
  <c r="G620" i="1"/>
  <c r="G640" i="1"/>
  <c r="G661" i="1"/>
  <c r="G675" i="1"/>
  <c r="G685" i="1"/>
  <c r="G692" i="1"/>
  <c r="G695" i="1"/>
  <c r="G700" i="1"/>
  <c r="G706" i="1"/>
  <c r="G708" i="1"/>
  <c r="G723" i="1"/>
  <c r="G741" i="1"/>
  <c r="G763" i="1"/>
  <c r="G768" i="1"/>
  <c r="G849" i="1"/>
  <c r="G857" i="1"/>
  <c r="G892" i="1"/>
  <c r="G905" i="1"/>
  <c r="G909" i="1"/>
  <c r="G910" i="1"/>
  <c r="G912" i="1"/>
  <c r="G917" i="1"/>
  <c r="G936" i="1"/>
  <c r="G944" i="1"/>
  <c r="G960" i="1"/>
  <c r="G974" i="1"/>
  <c r="G983" i="1"/>
  <c r="G985" i="1"/>
  <c r="G986" i="1"/>
  <c r="G994" i="1"/>
  <c r="G996" i="1"/>
  <c r="G1002" i="1"/>
  <c r="G1007" i="1"/>
  <c r="F1371" i="2"/>
  <c r="F1351" i="2"/>
  <c r="F1325" i="2"/>
  <c r="F1309" i="2"/>
  <c r="F1298" i="2"/>
  <c r="F1291" i="2"/>
  <c r="F1225" i="2"/>
  <c r="F1223" i="2"/>
  <c r="F1210" i="2"/>
  <c r="F1100" i="2"/>
  <c r="F1056" i="2"/>
  <c r="F1025" i="2"/>
  <c r="F997" i="2"/>
  <c r="F967" i="2"/>
  <c r="F921" i="2"/>
  <c r="F892" i="2"/>
  <c r="F873" i="2"/>
  <c r="F854" i="2"/>
  <c r="F852" i="2"/>
  <c r="F845" i="2"/>
  <c r="F838" i="2"/>
  <c r="F834" i="2"/>
  <c r="F828" i="2"/>
  <c r="F819" i="2"/>
  <c r="F817" i="2"/>
  <c r="F811" i="2"/>
  <c r="F807" i="2"/>
  <c r="F776" i="2"/>
  <c r="F684" i="2"/>
  <c r="F614" i="2"/>
  <c r="F552" i="2"/>
  <c r="F530" i="2"/>
  <c r="F529" i="2"/>
  <c r="F524" i="2"/>
  <c r="F477" i="2"/>
  <c r="F455" i="2"/>
  <c r="F415" i="2"/>
  <c r="F375" i="2"/>
  <c r="F348" i="2"/>
  <c r="F154" i="2"/>
  <c r="F149" i="2"/>
  <c r="F146" i="2"/>
  <c r="F144" i="2"/>
  <c r="F115" i="2"/>
  <c r="F103" i="2"/>
  <c r="F79" i="2"/>
  <c r="F68" i="2"/>
  <c r="F40" i="2"/>
  <c r="F33" i="2"/>
  <c r="F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<sst xmlns="http://schemas.openxmlformats.org/spreadsheetml/2006/main" count="6010" uniqueCount="3462">
  <si>
    <t>NO</t>
  </si>
  <si>
    <t>NAME</t>
  </si>
  <si>
    <t>BOX NO</t>
  </si>
  <si>
    <t>CON DATE</t>
  </si>
  <si>
    <t>NIC</t>
  </si>
  <si>
    <t>THANGAMALIGAI NADESAN</t>
  </si>
  <si>
    <t>CIRCULAR ROAD</t>
  </si>
  <si>
    <t>NO:38/40</t>
  </si>
  <si>
    <t>763439944/512222319</t>
  </si>
  <si>
    <t>SIVA TELEPRINT</t>
  </si>
  <si>
    <t>NO:49/5</t>
  </si>
  <si>
    <t>N.MANIKAM(NALAI VILAS)</t>
  </si>
  <si>
    <t>HATTON TOWN</t>
  </si>
  <si>
    <t>NO:33,SIDE STREET</t>
  </si>
  <si>
    <t>ASAD</t>
  </si>
  <si>
    <t>601539/243126</t>
  </si>
  <si>
    <t>801652743V</t>
  </si>
  <si>
    <t>MENDIS MAWATHA</t>
  </si>
  <si>
    <t>WA.KANCHANA CHANDAMALI</t>
  </si>
  <si>
    <t>NO:29/18</t>
  </si>
  <si>
    <t>885030750V</t>
  </si>
  <si>
    <t>C.SIVA (RATHIKA)</t>
  </si>
  <si>
    <t>NO:88/5</t>
  </si>
  <si>
    <t>B.TOWN</t>
  </si>
  <si>
    <t>MARKET</t>
  </si>
  <si>
    <t>782350161V</t>
  </si>
  <si>
    <t xml:space="preserve">SELVARAJ </t>
  </si>
  <si>
    <t>NO:19/1,SF RD</t>
  </si>
  <si>
    <t>607213712X</t>
  </si>
  <si>
    <t>DR.SUDHARSHAN</t>
  </si>
  <si>
    <t>HATTON HOUSE</t>
  </si>
  <si>
    <t>S.BATHMAVATHI</t>
  </si>
  <si>
    <t>NO:49/A</t>
  </si>
  <si>
    <t>597561920V</t>
  </si>
  <si>
    <t>THIRUCHELVAM</t>
  </si>
  <si>
    <t>NO:180/12</t>
  </si>
  <si>
    <t>VAMADEVAN SIR (NODE)</t>
  </si>
  <si>
    <t>M.NAGAJOTHY</t>
  </si>
  <si>
    <t>NO:52A</t>
  </si>
  <si>
    <t>NO:52</t>
  </si>
  <si>
    <t>M.ANTHONY JAYANTHY</t>
  </si>
  <si>
    <t>NO:29/11A</t>
  </si>
  <si>
    <t>NO:59</t>
  </si>
  <si>
    <t>HIJIRAPURA</t>
  </si>
  <si>
    <t>NO:13</t>
  </si>
  <si>
    <t>516162279V</t>
  </si>
  <si>
    <t>A.PARVATHI</t>
  </si>
  <si>
    <t>NO:65/5A</t>
  </si>
  <si>
    <t>766563082/767688730</t>
  </si>
  <si>
    <t>912590780V</t>
  </si>
  <si>
    <t>DIMBULLA ROAD</t>
  </si>
  <si>
    <t>R.PATHMANATHAN(B.SUTHARSHAN)</t>
  </si>
  <si>
    <t>SAI STREET</t>
  </si>
  <si>
    <t>NO:33/A</t>
  </si>
  <si>
    <t>779590321/777140440</t>
  </si>
  <si>
    <t>952840266V</t>
  </si>
  <si>
    <t>S.SELVANAYAGAM(TELE STAR)</t>
  </si>
  <si>
    <t>DUNBAR ROAD</t>
  </si>
  <si>
    <t>NO:69/5</t>
  </si>
  <si>
    <t>651293162V</t>
  </si>
  <si>
    <t>MUTHALIF (NODE)</t>
  </si>
  <si>
    <t>593542300V</t>
  </si>
  <si>
    <t>S.BALASUNDHRAM</t>
  </si>
  <si>
    <t>BJAU KOTTAGE</t>
  </si>
  <si>
    <t>NO:79/13</t>
  </si>
  <si>
    <t>SIVA SIR</t>
  </si>
  <si>
    <t>NO:79/15</t>
  </si>
  <si>
    <t>NO:77</t>
  </si>
  <si>
    <t>KUMARASAMY</t>
  </si>
  <si>
    <t>NO:77E</t>
  </si>
  <si>
    <t>770699564/705300000</t>
  </si>
  <si>
    <t>KOMATHY GANESHAN</t>
  </si>
  <si>
    <t>NO:81</t>
  </si>
  <si>
    <t>SHARMILA</t>
  </si>
  <si>
    <t>NO:79/3</t>
  </si>
  <si>
    <t>777797963/512224906</t>
  </si>
  <si>
    <t>P.CHANDRASEKARAN</t>
  </si>
  <si>
    <t>M.SELVATHURAI</t>
  </si>
  <si>
    <t>DUMBRUGIRIYA</t>
  </si>
  <si>
    <t>NO:5,NHS</t>
  </si>
  <si>
    <t>492972649V</t>
  </si>
  <si>
    <t>NO:81/2</t>
  </si>
  <si>
    <t>RAVI TAILOR SHOP</t>
  </si>
  <si>
    <t>741450674V</t>
  </si>
  <si>
    <t>HARICHANDRAN (RANJANAS CERAMIC)</t>
  </si>
  <si>
    <t>MR TOWN</t>
  </si>
  <si>
    <t>633062404v</t>
  </si>
  <si>
    <t>MOHAMAD ANSAR</t>
  </si>
  <si>
    <t>622743965V</t>
  </si>
  <si>
    <t>T.KRISHNASAMI(KRISHNA TAX)</t>
  </si>
  <si>
    <t>NO:81/86</t>
  </si>
  <si>
    <t>ARJUNA KUMAR</t>
  </si>
  <si>
    <t>NANDHAKUMAR</t>
  </si>
  <si>
    <t>780340576V</t>
  </si>
  <si>
    <t>HATTON POLICE (HQI OFFICE)</t>
  </si>
  <si>
    <t>HATTON POLICE</t>
  </si>
  <si>
    <t>SIRAJ(NODE)</t>
  </si>
  <si>
    <t>NO:47</t>
  </si>
  <si>
    <t>720063166X</t>
  </si>
  <si>
    <t>MAGALINGAM (RENUKA DEVI)</t>
  </si>
  <si>
    <t>NO:81/6</t>
  </si>
  <si>
    <t>VIKNESVARA KUMAR(JP)</t>
  </si>
  <si>
    <t>512222058/770132288</t>
  </si>
  <si>
    <t>572421562V</t>
  </si>
  <si>
    <t>RASI JEWELLERS (BATHMANATHAN)</t>
  </si>
  <si>
    <t>NO:42/C</t>
  </si>
  <si>
    <t>S.RAMARAJ</t>
  </si>
  <si>
    <t>P.YOGESHVARAN (SAGI STORES)</t>
  </si>
  <si>
    <t>NO:1,1ST LANE</t>
  </si>
  <si>
    <t>V.GOBALA KRISHNAN</t>
  </si>
  <si>
    <t>NO:42/5C</t>
  </si>
  <si>
    <t>633001006x</t>
  </si>
  <si>
    <t>KRISHNAMOORTHI SAMI</t>
  </si>
  <si>
    <t>NO:185</t>
  </si>
  <si>
    <t>M.M.FAUSER</t>
  </si>
  <si>
    <t>NO:40/2</t>
  </si>
  <si>
    <t>775214111/773885637</t>
  </si>
  <si>
    <t>K.DAYALANTHINI</t>
  </si>
  <si>
    <t>NO:137/A</t>
  </si>
  <si>
    <t>778074193/512224230</t>
  </si>
  <si>
    <t>846621717V</t>
  </si>
  <si>
    <t>BALASUBRAMANIYAM SHARMA</t>
  </si>
  <si>
    <t>N0:185</t>
  </si>
  <si>
    <t>DICKOYA ROAD</t>
  </si>
  <si>
    <t>MANO RAJ (COLOMBO STORES)</t>
  </si>
  <si>
    <t>BUS STAND</t>
  </si>
  <si>
    <t>512223020/719708018</t>
  </si>
  <si>
    <t>NO:39</t>
  </si>
  <si>
    <t>KUTHUS (NODE)</t>
  </si>
  <si>
    <t>K.THURSHANTHINI</t>
  </si>
  <si>
    <t>SF ROAD</t>
  </si>
  <si>
    <t>771007463/721245405</t>
  </si>
  <si>
    <t>ANANDHA MEDICAL</t>
  </si>
  <si>
    <t>816331889V</t>
  </si>
  <si>
    <t>NAVAS</t>
  </si>
  <si>
    <t>KANDHAIYA BUILDING</t>
  </si>
  <si>
    <t>663030981V</t>
  </si>
  <si>
    <t>V.RAVINATHAN</t>
  </si>
  <si>
    <t>NO:60B</t>
  </si>
  <si>
    <t>512222746/773932113</t>
  </si>
  <si>
    <t>711331530V</t>
  </si>
  <si>
    <t>NODE(DHANAPAL SIR)</t>
  </si>
  <si>
    <t>K.ABDULA</t>
  </si>
  <si>
    <t>NO:35</t>
  </si>
  <si>
    <t>841292413v</t>
  </si>
  <si>
    <t>G.NAGENDRAN</t>
  </si>
  <si>
    <t>NO:199/57</t>
  </si>
  <si>
    <t>G.CHANDRASEGARAN</t>
  </si>
  <si>
    <t>NO:32/15</t>
  </si>
  <si>
    <t>O.RAVEENDRAN</t>
  </si>
  <si>
    <t>412110900v</t>
  </si>
  <si>
    <t>S.KRISHNAKUMAR</t>
  </si>
  <si>
    <t>NO:32/5,BROWNS QUA</t>
  </si>
  <si>
    <t>773942047/775679256/512224508</t>
  </si>
  <si>
    <t>C.B.M.ISMAIL(FARUK)</t>
  </si>
  <si>
    <t>NO:14/1</t>
  </si>
  <si>
    <t>M ALAGESHAN (SASI REKA)</t>
  </si>
  <si>
    <t>797524204V</t>
  </si>
  <si>
    <t>SAMANPURA BAR</t>
  </si>
  <si>
    <t>NO:9</t>
  </si>
  <si>
    <t>BALA ARJUNA</t>
  </si>
  <si>
    <t>HILL STREET</t>
  </si>
  <si>
    <t>NO:199/16</t>
  </si>
  <si>
    <t>696971846x</t>
  </si>
  <si>
    <t>LAL SUJEEVA</t>
  </si>
  <si>
    <t>NO:27/18</t>
  </si>
  <si>
    <t>712658332/778828452</t>
  </si>
  <si>
    <t>661672030V</t>
  </si>
  <si>
    <t>K.DHARMALINGAM</t>
  </si>
  <si>
    <t>NO:29/3,2ND LINE</t>
  </si>
  <si>
    <t>772853851/770471278</t>
  </si>
  <si>
    <t>ARJUNA JEWELLERS HOME</t>
  </si>
  <si>
    <t>NO:79/17</t>
  </si>
  <si>
    <t>N.SAKTHI</t>
  </si>
  <si>
    <t>NO:37/7</t>
  </si>
  <si>
    <t>743653602V</t>
  </si>
  <si>
    <t>NO:42</t>
  </si>
  <si>
    <t>RENU(NODE)</t>
  </si>
  <si>
    <t>CHANDRA MOHAN UMA</t>
  </si>
  <si>
    <t>NO:77B</t>
  </si>
  <si>
    <t>512222068/773626768</t>
  </si>
  <si>
    <t>737211428V</t>
  </si>
  <si>
    <t>V.SIVANESHVARI (BAR HOME)</t>
  </si>
  <si>
    <t>NO:199/37</t>
  </si>
  <si>
    <t>ASP</t>
  </si>
  <si>
    <t>N.PRABAGARAN</t>
  </si>
  <si>
    <t>842560640V</t>
  </si>
  <si>
    <t>DHARMESH KUMAR</t>
  </si>
  <si>
    <t>715149/060577</t>
  </si>
  <si>
    <t>NO:16/39</t>
  </si>
  <si>
    <t>711260013V</t>
  </si>
  <si>
    <t>T.GHANASEGARAN (HNB)</t>
  </si>
  <si>
    <t>NO:32/16F,2ND LINE</t>
  </si>
  <si>
    <t>SRIKRISHNA BAVAN</t>
  </si>
  <si>
    <t>NO:65</t>
  </si>
  <si>
    <t>340383/321508/325228/174907</t>
  </si>
  <si>
    <t>651963524V</t>
  </si>
  <si>
    <t>S.SELVAM</t>
  </si>
  <si>
    <t>NO:47/42</t>
  </si>
  <si>
    <t>778279896/755577925</t>
  </si>
  <si>
    <t>751073305V</t>
  </si>
  <si>
    <t>M.SHANTHI KUMAR</t>
  </si>
  <si>
    <t>582782636V</t>
  </si>
  <si>
    <t>DR.CHING</t>
  </si>
  <si>
    <t>S.SASIKUMAR(HOSPITAL)</t>
  </si>
  <si>
    <t>NO:35/3</t>
  </si>
  <si>
    <t>750430562V</t>
  </si>
  <si>
    <t>NO:32</t>
  </si>
  <si>
    <t>NO:48/11</t>
  </si>
  <si>
    <t>723538817/715508247</t>
  </si>
  <si>
    <t>DEVAKUMAR SASI ARJUNA</t>
  </si>
  <si>
    <t>NO:94/A</t>
  </si>
  <si>
    <t>750352340V</t>
  </si>
  <si>
    <t>ASALDEEN (AYESHA LEARNERS)</t>
  </si>
  <si>
    <t>149032/129158/150899</t>
  </si>
  <si>
    <t>891753845V</t>
  </si>
  <si>
    <t>S.THANALATCHUMY</t>
  </si>
  <si>
    <t>NO:29/3,SF RD</t>
  </si>
  <si>
    <t>630931576V</t>
  </si>
  <si>
    <t>VANI STORES</t>
  </si>
  <si>
    <t>NO:76,SF RD</t>
  </si>
  <si>
    <t>607494/098411</t>
  </si>
  <si>
    <t>782871530V</t>
  </si>
  <si>
    <t>NUSHANI RAJAPAKSHA</t>
  </si>
  <si>
    <t>NO:37</t>
  </si>
  <si>
    <t>576933282V</t>
  </si>
  <si>
    <t>V.MEGALA</t>
  </si>
  <si>
    <t>NO:33</t>
  </si>
  <si>
    <t>512223320/775173385</t>
  </si>
  <si>
    <t>906590018V</t>
  </si>
  <si>
    <t>NO:26</t>
  </si>
  <si>
    <t>N.SOBANA</t>
  </si>
  <si>
    <t>NO:24</t>
  </si>
  <si>
    <t>626220681V</t>
  </si>
  <si>
    <t>R.NALLATHAMBI</t>
  </si>
  <si>
    <t>NO:30A</t>
  </si>
  <si>
    <t>870113145V</t>
  </si>
  <si>
    <t>P.GANAM(ASIRI HOSPITAL)</t>
  </si>
  <si>
    <t>ARIYAGAMA</t>
  </si>
  <si>
    <t>NO:1</t>
  </si>
  <si>
    <t>661692332V</t>
  </si>
  <si>
    <t>KRISHNA SIR (NODE)</t>
  </si>
  <si>
    <t>J.KANCHANA</t>
  </si>
  <si>
    <t>NO:22</t>
  </si>
  <si>
    <t>S.KUMARAVEL</t>
  </si>
  <si>
    <t>687593030X</t>
  </si>
  <si>
    <t>J.SATHYAPRIYA(SEELAN)</t>
  </si>
  <si>
    <t>721264034/775702580</t>
  </si>
  <si>
    <t>812614878V</t>
  </si>
  <si>
    <t>SAMANALAGAMA</t>
  </si>
  <si>
    <t>NO:29</t>
  </si>
  <si>
    <t>T.THANGARAJ</t>
  </si>
  <si>
    <t>NO:79/21</t>
  </si>
  <si>
    <t>512222470/776952944</t>
  </si>
  <si>
    <t>STAR PHARMACY</t>
  </si>
  <si>
    <t>NO:30/5,BROWNS QUA</t>
  </si>
  <si>
    <t>830972455V</t>
  </si>
  <si>
    <t>N.JEYALETCHUMY</t>
  </si>
  <si>
    <t>NO:29/5</t>
  </si>
  <si>
    <t>696131350v</t>
  </si>
  <si>
    <t>NIMAL GUNARATNAM</t>
  </si>
  <si>
    <t>775757273/513515463</t>
  </si>
  <si>
    <t>542872284V</t>
  </si>
  <si>
    <t>REGAL(SANMUGAM)</t>
  </si>
  <si>
    <t>NO:79,MAIN STREET</t>
  </si>
  <si>
    <t>DHAYABATHMASIRI</t>
  </si>
  <si>
    <t>MANAMAGAL HOME</t>
  </si>
  <si>
    <t>NO:23</t>
  </si>
  <si>
    <t>642323318V</t>
  </si>
  <si>
    <t>NO:14</t>
  </si>
  <si>
    <t>R.KIRUBANANTHAN</t>
  </si>
  <si>
    <t>NO:16/10</t>
  </si>
  <si>
    <t>711894391/779076241</t>
  </si>
  <si>
    <t>T.DEVARAJ</t>
  </si>
  <si>
    <t>NO:8</t>
  </si>
  <si>
    <t>VASUDEVAN</t>
  </si>
  <si>
    <t>NO:42/2A</t>
  </si>
  <si>
    <t>RAKSHA</t>
  </si>
  <si>
    <t>NO:29/3</t>
  </si>
  <si>
    <t>876837315v</t>
  </si>
  <si>
    <t>CM.HILMI</t>
  </si>
  <si>
    <t>S.RAJAMANIKAM</t>
  </si>
  <si>
    <t>NO:47/18A,22D</t>
  </si>
  <si>
    <t>SHANMUGARAJA(GS)</t>
  </si>
  <si>
    <t>NO:22/2</t>
  </si>
  <si>
    <t>713766255/775895829</t>
  </si>
  <si>
    <t>720443392V</t>
  </si>
  <si>
    <t>M.SELVAKUMAR</t>
  </si>
  <si>
    <t>NO:2</t>
  </si>
  <si>
    <t>832985856V</t>
  </si>
  <si>
    <t>RENGANAYAGI (S.KAVISHANTHAN)</t>
  </si>
  <si>
    <t>NO:29/13</t>
  </si>
  <si>
    <t>719397526/771403103</t>
  </si>
  <si>
    <t>S.JEYANTHY</t>
  </si>
  <si>
    <t>NO:29/17</t>
  </si>
  <si>
    <t>777903489X</t>
  </si>
  <si>
    <t>V.UDHAYAN</t>
  </si>
  <si>
    <t>NO:45/5</t>
  </si>
  <si>
    <t>KAMALA DEVI</t>
  </si>
  <si>
    <t>NO:102</t>
  </si>
  <si>
    <t>665893766X</t>
  </si>
  <si>
    <t>VINAYAGAMOORTHI LAWYER</t>
  </si>
  <si>
    <t>514920395/714101558</t>
  </si>
  <si>
    <t>752122687V</t>
  </si>
  <si>
    <t>ISWARYA JEWELLERS</t>
  </si>
  <si>
    <t>871861552V</t>
  </si>
  <si>
    <t xml:space="preserve">P.SURENDHRAN  </t>
  </si>
  <si>
    <t>663451634V</t>
  </si>
  <si>
    <t>NO:102/16/1</t>
  </si>
  <si>
    <t>511912946V</t>
  </si>
  <si>
    <t>V.MAGENDRAN</t>
  </si>
  <si>
    <t>NO:200</t>
  </si>
  <si>
    <t>K.JEGANADHAN</t>
  </si>
  <si>
    <t>NO:61/9</t>
  </si>
  <si>
    <t>775133416/512222086</t>
  </si>
  <si>
    <t>HOTEL MOUNT CASTLE</t>
  </si>
  <si>
    <t>PONNAGAR</t>
  </si>
  <si>
    <t>512223232/777121776/779121910</t>
  </si>
  <si>
    <t>122922/057375/089626/144322/038060/092745/144298/157738</t>
  </si>
  <si>
    <t>773171939V</t>
  </si>
  <si>
    <t>S.STALIN VIJITHA</t>
  </si>
  <si>
    <t>NO:102,SF RD</t>
  </si>
  <si>
    <t>AJEEMUNNISHA</t>
  </si>
  <si>
    <t>NO:1A</t>
  </si>
  <si>
    <t>762989596/711769596</t>
  </si>
  <si>
    <t>697233261V</t>
  </si>
  <si>
    <t>M.RIZMEE (NODE)</t>
  </si>
  <si>
    <t>MPM.KALEEL</t>
  </si>
  <si>
    <t>NO:102/6</t>
  </si>
  <si>
    <t>740652702V</t>
  </si>
  <si>
    <t>BALA JAYANTHI</t>
  </si>
  <si>
    <t>632903359X</t>
  </si>
  <si>
    <t xml:space="preserve">S.JAYASEELAN </t>
  </si>
  <si>
    <t>NO:19/32</t>
  </si>
  <si>
    <t>790771346X</t>
  </si>
  <si>
    <t>PARAMAGURU MAGESHKUMAR</t>
  </si>
  <si>
    <t>NO:98</t>
  </si>
  <si>
    <t>773878636/512224068</t>
  </si>
  <si>
    <t>085517/245319</t>
  </si>
  <si>
    <t>803082413V</t>
  </si>
  <si>
    <t>M.G.MOHAMAD</t>
  </si>
  <si>
    <t>NO:102/13</t>
  </si>
  <si>
    <t>961090539V</t>
  </si>
  <si>
    <t>N.NALINI</t>
  </si>
  <si>
    <t>NO:199/B</t>
  </si>
  <si>
    <t>765253454V</t>
  </si>
  <si>
    <t>M.H.M.SAHABDEEN</t>
  </si>
  <si>
    <t>620624160V</t>
  </si>
  <si>
    <t>DR.PARAMESHVARAN</t>
  </si>
  <si>
    <t>NO:29/8</t>
  </si>
  <si>
    <t>512222950/718286581</t>
  </si>
  <si>
    <t>565031/106958</t>
  </si>
  <si>
    <t>611680988V</t>
  </si>
  <si>
    <t>A.KAMALESH(TEA HILLS )</t>
  </si>
  <si>
    <t>102197/135726/094246/123730/024920/035090/112295/079015</t>
  </si>
  <si>
    <t>MHM.JARUK</t>
  </si>
  <si>
    <t>774030581/715914180</t>
  </si>
  <si>
    <t>M.UDHAYAKUMAR(SC.KUMARY)</t>
  </si>
  <si>
    <t>NO:97/B</t>
  </si>
  <si>
    <t>717007403/712051471</t>
  </si>
  <si>
    <t>VINOTH REIMI JEWELLERS</t>
  </si>
  <si>
    <t>NO:27/3</t>
  </si>
  <si>
    <t>140130/139280/243843</t>
  </si>
  <si>
    <t>803553858X</t>
  </si>
  <si>
    <t>B.RAMAJEYAM</t>
  </si>
  <si>
    <t>743283104V</t>
  </si>
  <si>
    <t xml:space="preserve">JANAKI RAMAN </t>
  </si>
  <si>
    <t>NO:34</t>
  </si>
  <si>
    <t>380161060V</t>
  </si>
  <si>
    <t>S.PAVALAVANNAN</t>
  </si>
  <si>
    <t>DEPPOT ROAD</t>
  </si>
  <si>
    <t>M.FAIRUS(NEXT SHOP)</t>
  </si>
  <si>
    <t>860681820v</t>
  </si>
  <si>
    <t>MA.ZIFAN</t>
  </si>
  <si>
    <t>773200259/775809131</t>
  </si>
  <si>
    <t>561100233V</t>
  </si>
  <si>
    <t>T.YOGARAJ</t>
  </si>
  <si>
    <t>NO:99</t>
  </si>
  <si>
    <t>777758711/772732213</t>
  </si>
  <si>
    <t>I.IMAM</t>
  </si>
  <si>
    <t>NO:43</t>
  </si>
  <si>
    <t>687952723V</t>
  </si>
  <si>
    <t>SIRI (FRUIT SHOP)</t>
  </si>
  <si>
    <t>NO:7</t>
  </si>
  <si>
    <t>661121092V</t>
  </si>
  <si>
    <t>M.SANMUGALINGAM</t>
  </si>
  <si>
    <t>NO:99/40A,2ND LANE</t>
  </si>
  <si>
    <t>681111506V</t>
  </si>
  <si>
    <t>M.RAJAH (THANGAMALIGAI)</t>
  </si>
  <si>
    <t>791582091V</t>
  </si>
  <si>
    <t>NIYAS (NODE)</t>
  </si>
  <si>
    <t>M.H.IBUL</t>
  </si>
  <si>
    <t>K.MURUGESHVARAN</t>
  </si>
  <si>
    <t>NO:36/1,B.TOWN</t>
  </si>
  <si>
    <t>774429223/740778085</t>
  </si>
  <si>
    <t>R.NIVEDHITHA</t>
  </si>
  <si>
    <t>NO:87</t>
  </si>
  <si>
    <t>908600681V</t>
  </si>
  <si>
    <t>P.MANOGAR</t>
  </si>
  <si>
    <t>NO:4</t>
  </si>
  <si>
    <t>NO:36/50A</t>
  </si>
  <si>
    <t>MOHAMAD SALIM</t>
  </si>
  <si>
    <t xml:space="preserve">M.DHARSHIKA </t>
  </si>
  <si>
    <t>NO:76</t>
  </si>
  <si>
    <t>997522800V</t>
  </si>
  <si>
    <t>AP.JANARATHA</t>
  </si>
  <si>
    <t>558317/366016</t>
  </si>
  <si>
    <t>911540916V</t>
  </si>
  <si>
    <t>K.ZAREENA(AM.KAMRULZAMN)</t>
  </si>
  <si>
    <t>729776080/713963373/774138171</t>
  </si>
  <si>
    <t>611823479V</t>
  </si>
  <si>
    <t>M.M.FARIZ</t>
  </si>
  <si>
    <t>R.RAMACHANDRAN</t>
  </si>
  <si>
    <t>512224354/778489014/755536716</t>
  </si>
  <si>
    <t>S.SASIDHARAN</t>
  </si>
  <si>
    <t>NO:36/41A</t>
  </si>
  <si>
    <t>8634603629V</t>
  </si>
  <si>
    <t>V.RAJANI</t>
  </si>
  <si>
    <t>763396225/766962428</t>
  </si>
  <si>
    <t>SARATHA MAHAL (N.M.MAHENDRAN)</t>
  </si>
  <si>
    <t>NO:45</t>
  </si>
  <si>
    <t>641123200V</t>
  </si>
  <si>
    <t>THILLAI REGAL ENT</t>
  </si>
  <si>
    <t>751243553V</t>
  </si>
  <si>
    <t>GSP.FONSEKA</t>
  </si>
  <si>
    <t>NO:204D</t>
  </si>
  <si>
    <t>V.VINOJ</t>
  </si>
  <si>
    <t>NO:199/1A</t>
  </si>
  <si>
    <t>768747518/778268061</t>
  </si>
  <si>
    <t>SEGAR(ASOKAS)</t>
  </si>
  <si>
    <t>NO:167/25</t>
  </si>
  <si>
    <t>S.CHANDRASEKARAN</t>
  </si>
  <si>
    <t>FRUTILL</t>
  </si>
  <si>
    <t>777301889/713717009/765454197</t>
  </si>
  <si>
    <t>NOWSATH(TAILOR) {NODE}</t>
  </si>
  <si>
    <t>NO:15</t>
  </si>
  <si>
    <t>LKM.NALEEM</t>
  </si>
  <si>
    <t>NO:18/7</t>
  </si>
  <si>
    <t>M.PRADHEESHAN</t>
  </si>
  <si>
    <t>922161500V</t>
  </si>
  <si>
    <t>K.NAVARATHNAM</t>
  </si>
  <si>
    <t>NO:40/1A</t>
  </si>
  <si>
    <t>860151502V</t>
  </si>
  <si>
    <t>DR.ARULKUMARAN</t>
  </si>
  <si>
    <t>NO:48/25</t>
  </si>
  <si>
    <t>S.JEYAKOBAN</t>
  </si>
  <si>
    <t>NO:12</t>
  </si>
  <si>
    <t>765644224/512223790</t>
  </si>
  <si>
    <t>586192434V</t>
  </si>
  <si>
    <t>NO:16</t>
  </si>
  <si>
    <t>N.KANTHAN</t>
  </si>
  <si>
    <t>NO:12B</t>
  </si>
  <si>
    <t>MR.ISAAC</t>
  </si>
  <si>
    <t>NO:167/8</t>
  </si>
  <si>
    <t>561611076X</t>
  </si>
  <si>
    <t>JG.SUGATHABALA</t>
  </si>
  <si>
    <t>NO:30</t>
  </si>
  <si>
    <t>722760280V</t>
  </si>
  <si>
    <t>NO:18/6</t>
  </si>
  <si>
    <t>NO:18/5</t>
  </si>
  <si>
    <t>RAJENDRAN SIR</t>
  </si>
  <si>
    <t>702444786/767972207</t>
  </si>
  <si>
    <t>ABDUL AKIM</t>
  </si>
  <si>
    <t>692423151V</t>
  </si>
  <si>
    <t>AM.SIDHIK</t>
  </si>
  <si>
    <t>NO:6</t>
  </si>
  <si>
    <t>YASODHA SURESH</t>
  </si>
  <si>
    <t>736942720V</t>
  </si>
  <si>
    <t>ACM.FARUK</t>
  </si>
  <si>
    <t>NO:16/31</t>
  </si>
  <si>
    <t>460640946V</t>
  </si>
  <si>
    <t>I.SRIDHARAN</t>
  </si>
  <si>
    <t>NO:49/6</t>
  </si>
  <si>
    <t>776417052/777469192</t>
  </si>
  <si>
    <t>S.THIYAGU</t>
  </si>
  <si>
    <t>NO:28</t>
  </si>
  <si>
    <t>T.DHAYANANTHAN</t>
  </si>
  <si>
    <t>817840019V</t>
  </si>
  <si>
    <t>C.M.MAJITH</t>
  </si>
  <si>
    <t>555571461x</t>
  </si>
  <si>
    <t>TP.STEEBAN</t>
  </si>
  <si>
    <t>NO:110/15</t>
  </si>
  <si>
    <t>777246306/714400405</t>
  </si>
  <si>
    <t>S.GANESH(P.THIYAGARAJ)</t>
  </si>
  <si>
    <t>NO:36/44,1/1</t>
  </si>
  <si>
    <t>512232204/715355764</t>
  </si>
  <si>
    <t>620484113X</t>
  </si>
  <si>
    <t>761421645/760009154</t>
  </si>
  <si>
    <t>770653260/764064466</t>
  </si>
  <si>
    <t>R.PRABU (NIPON SALOON)</t>
  </si>
  <si>
    <t>NO:28/4</t>
  </si>
  <si>
    <t>727111600/775678931</t>
  </si>
  <si>
    <t>K.SANTHOSH</t>
  </si>
  <si>
    <t>752699440/772560028</t>
  </si>
  <si>
    <t>942824300V</t>
  </si>
  <si>
    <t>KAMALADEVI (TEACHER)</t>
  </si>
  <si>
    <t>NO:3</t>
  </si>
  <si>
    <t>NO:31</t>
  </si>
  <si>
    <t>S.PRASANNA</t>
  </si>
  <si>
    <t>742200175/764610243</t>
  </si>
  <si>
    <t>827404799V</t>
  </si>
  <si>
    <t>P.SATHYAVELU(POOL BANK)</t>
  </si>
  <si>
    <t>NO:12,2ND LANE</t>
  </si>
  <si>
    <t>701190114V</t>
  </si>
  <si>
    <t>R.NIZAM</t>
  </si>
  <si>
    <t>717472200/770377277</t>
  </si>
  <si>
    <t>843390250V</t>
  </si>
  <si>
    <t>MALLIYAPU TOWN</t>
  </si>
  <si>
    <t>C.RAMESH BABU (PRANAVAM FOUNDATION)</t>
  </si>
  <si>
    <t>NO:16/6A</t>
  </si>
  <si>
    <t>772212033/779367455/777680604</t>
  </si>
  <si>
    <t>723592607v</t>
  </si>
  <si>
    <t>MARI KUMARAVEL SIR</t>
  </si>
  <si>
    <t>663372270V</t>
  </si>
  <si>
    <t>S.SKANTHADASAN (SAMI)</t>
  </si>
  <si>
    <t>716515334/716515333</t>
  </si>
  <si>
    <t>673211879V</t>
  </si>
  <si>
    <t>MALA SEBASTIYAN</t>
  </si>
  <si>
    <t>NO:50</t>
  </si>
  <si>
    <t>718286719/715148718</t>
  </si>
  <si>
    <t xml:space="preserve">K.AMUTHA  </t>
  </si>
  <si>
    <t>715449002/771583550</t>
  </si>
  <si>
    <t>792552471V</t>
  </si>
  <si>
    <t>R.SUGUNA</t>
  </si>
  <si>
    <t>NO:27/5</t>
  </si>
  <si>
    <t>708484296V</t>
  </si>
  <si>
    <t>S.DHAYABARAN</t>
  </si>
  <si>
    <t>NO:19/190</t>
  </si>
  <si>
    <t>793551045V</t>
  </si>
  <si>
    <t>M.MIRUNALAN</t>
  </si>
  <si>
    <t>NO:165</t>
  </si>
  <si>
    <t>871561931V</t>
  </si>
  <si>
    <t>DR.S.SUGUMAR</t>
  </si>
  <si>
    <t>602320960V</t>
  </si>
  <si>
    <t>A.RUSHANTHAN(PEOPLE LEASING)</t>
  </si>
  <si>
    <t>NO:19/145</t>
  </si>
  <si>
    <t>772588672/766001516</t>
  </si>
  <si>
    <t>696630771x</t>
  </si>
  <si>
    <t>RAMASAMY (K.S.MOBILE)</t>
  </si>
  <si>
    <t>NO:74/2,SF RD</t>
  </si>
  <si>
    <t>DPN.ABEYARATHNA</t>
  </si>
  <si>
    <t>NO:101</t>
  </si>
  <si>
    <t>769988785/763848747</t>
  </si>
  <si>
    <t>695421427V</t>
  </si>
  <si>
    <t>S.MARKERS</t>
  </si>
  <si>
    <t>NO:47/7</t>
  </si>
  <si>
    <t>772711651/774056437</t>
  </si>
  <si>
    <t>735423835X</t>
  </si>
  <si>
    <t>MUMTHAJ BEGAM</t>
  </si>
  <si>
    <t>NO:97</t>
  </si>
  <si>
    <t>R.GANESHARANI</t>
  </si>
  <si>
    <t>NO:35/A</t>
  </si>
  <si>
    <t>716572396/512222050</t>
  </si>
  <si>
    <t>T.RANI</t>
  </si>
  <si>
    <t>757154072V</t>
  </si>
  <si>
    <t>P.SIVAKUMAR</t>
  </si>
  <si>
    <t>NO:42/5A</t>
  </si>
  <si>
    <t>807334212V</t>
  </si>
  <si>
    <t>M.B.P.COORAY</t>
  </si>
  <si>
    <t>NO:8/3,BROWNS QUA</t>
  </si>
  <si>
    <t>701240421V</t>
  </si>
  <si>
    <t>RAJARATHNAM (EGG SHOP)</t>
  </si>
  <si>
    <t>NO:199/35</t>
  </si>
  <si>
    <t>S.P.POLICE HATTON</t>
  </si>
  <si>
    <t>LAKSMAN PARAMESVARN(AMBIGA VILLA)</t>
  </si>
  <si>
    <t>NO:20</t>
  </si>
  <si>
    <t>M.TANIA GOMAS</t>
  </si>
  <si>
    <t>NO:1/3,APPROCH RD</t>
  </si>
  <si>
    <t>HILMI NAZRA(TAILORS COTTAGE)</t>
  </si>
  <si>
    <t>NO:64</t>
  </si>
  <si>
    <t>777658433/776063152</t>
  </si>
  <si>
    <t>860674386V</t>
  </si>
  <si>
    <t xml:space="preserve">S.PRABAKARAN   </t>
  </si>
  <si>
    <t>DICKOYA HOSPITAL</t>
  </si>
  <si>
    <t>852730331V</t>
  </si>
  <si>
    <t>K.HIRUSHANTHINI</t>
  </si>
  <si>
    <t>NO:51</t>
  </si>
  <si>
    <t>815203461V</t>
  </si>
  <si>
    <t>NO:225,FRUTILL</t>
  </si>
  <si>
    <t>K.KRISHNAKUMAR</t>
  </si>
  <si>
    <t>712290072V</t>
  </si>
  <si>
    <t>SUNDARAM MANAMAGAL</t>
  </si>
  <si>
    <t>932180898V</t>
  </si>
  <si>
    <t>M.BALA (SUN VIDEO)</t>
  </si>
  <si>
    <t>NO:260/1</t>
  </si>
  <si>
    <t>S.KUMAR</t>
  </si>
  <si>
    <t>781622397V</t>
  </si>
  <si>
    <t>A.JANANI(M.KONESVARAN)</t>
  </si>
  <si>
    <t>NO:265/1</t>
  </si>
  <si>
    <t>761952005X</t>
  </si>
  <si>
    <t>AFM.NAZEER</t>
  </si>
  <si>
    <t>S.M.MUNAJ</t>
  </si>
  <si>
    <t>704500009/701080001</t>
  </si>
  <si>
    <t>940683300V</t>
  </si>
  <si>
    <t>SAKTHI TRADE</t>
  </si>
  <si>
    <t>NO:92</t>
  </si>
  <si>
    <t>105265/229545</t>
  </si>
  <si>
    <t>783480140V</t>
  </si>
  <si>
    <t>ABIRA</t>
  </si>
  <si>
    <t>NO:199/47</t>
  </si>
  <si>
    <t>773983464/711594306</t>
  </si>
  <si>
    <t>D.CHARLS STEEBAN</t>
  </si>
  <si>
    <t>NO:41/4</t>
  </si>
  <si>
    <t>P.ARUMUGAM PRIYADHRASHINI</t>
  </si>
  <si>
    <t>D.VIJAYAKUMAR(AMBAL FANCY)</t>
  </si>
  <si>
    <t>NO:79/11A</t>
  </si>
  <si>
    <t>690034476V</t>
  </si>
  <si>
    <t>M.SUNDHARARAJ</t>
  </si>
  <si>
    <t>NO:10</t>
  </si>
  <si>
    <t>431902420V</t>
  </si>
  <si>
    <t>A.MANIVASAGAM</t>
  </si>
  <si>
    <t>NO:37/5</t>
  </si>
  <si>
    <t>S.SANMUGALINGAM</t>
  </si>
  <si>
    <t>NO:79/6</t>
  </si>
  <si>
    <t>671490070V</t>
  </si>
  <si>
    <t>S.SENTHIL (TELE STAR)</t>
  </si>
  <si>
    <t>770511135X</t>
  </si>
  <si>
    <t>Z.M.MOHAMAD ZAIN</t>
  </si>
  <si>
    <t>NO:37/6</t>
  </si>
  <si>
    <t>A.H.E.FAIZAR(TAILOR SHOP)</t>
  </si>
  <si>
    <t>790453077V</t>
  </si>
  <si>
    <t>SINNATHAMBI SUPPAIYA</t>
  </si>
  <si>
    <t>NO:19</t>
  </si>
  <si>
    <t>778824230/512222266</t>
  </si>
  <si>
    <t>471070084V</t>
  </si>
  <si>
    <t xml:space="preserve">S.SASIKUMAR </t>
  </si>
  <si>
    <t>NO:85</t>
  </si>
  <si>
    <t>720485591/756612602</t>
  </si>
  <si>
    <t>851711520V</t>
  </si>
  <si>
    <t>SUPPAIYA JAYAKUMAR</t>
  </si>
  <si>
    <t>NO:76/1/1,SF RD</t>
  </si>
  <si>
    <t>S.PARANJOTHY TEACHER</t>
  </si>
  <si>
    <t>GANESHAN MYTHILI</t>
  </si>
  <si>
    <t xml:space="preserve">NO:61 </t>
  </si>
  <si>
    <t>805101148X</t>
  </si>
  <si>
    <t>PERINBANAYAGAM (POLICE)</t>
  </si>
  <si>
    <t>521724137X</t>
  </si>
  <si>
    <t>K.KISHOKUMAR</t>
  </si>
  <si>
    <t>NO:369/8,FRUTILL</t>
  </si>
  <si>
    <t>923183361V</t>
  </si>
  <si>
    <t>P.MIDHUNESH</t>
  </si>
  <si>
    <t>NO:28/11A</t>
  </si>
  <si>
    <t>631134963V</t>
  </si>
  <si>
    <t>M.APTHUL BASITH</t>
  </si>
  <si>
    <t>971703296V</t>
  </si>
  <si>
    <t>M.M.DHAHIR(BEAF SP)</t>
  </si>
  <si>
    <t>M.A.BENJAMIN</t>
  </si>
  <si>
    <t>NO:199/75</t>
  </si>
  <si>
    <t>650280490X</t>
  </si>
  <si>
    <t>R.GANESAMOORTHY (GANESHA MOTORS)</t>
  </si>
  <si>
    <t>NO:4/21,PANSALA RD</t>
  </si>
  <si>
    <t>791221455V</t>
  </si>
  <si>
    <t>NO:36/12</t>
  </si>
  <si>
    <t xml:space="preserve">N.SUGANTHAN </t>
  </si>
  <si>
    <t>528303293V</t>
  </si>
  <si>
    <t>K.K.RAJI KELUM</t>
  </si>
  <si>
    <t>NO:18</t>
  </si>
  <si>
    <t>P.SETHURAMAN (REKAS)</t>
  </si>
  <si>
    <t>767774544/512222649</t>
  </si>
  <si>
    <t>B.KIRUBAKARAN</t>
  </si>
  <si>
    <t>718286694/770313753</t>
  </si>
  <si>
    <t>763590100V</t>
  </si>
  <si>
    <t>S.SELVAKUMAR (UNIVENCHER)</t>
  </si>
  <si>
    <t>652860974V</t>
  </si>
  <si>
    <t>P.ARAVAMBAL</t>
  </si>
  <si>
    <t>NO:231</t>
  </si>
  <si>
    <t>566342596V</t>
  </si>
  <si>
    <t>K.NANDHINI</t>
  </si>
  <si>
    <t>NO:199/6</t>
  </si>
  <si>
    <t>865073496V</t>
  </si>
  <si>
    <t>YASODHARAN SIR</t>
  </si>
  <si>
    <t>RIFAI</t>
  </si>
  <si>
    <t>W.BALAKUMAR SHARMA</t>
  </si>
  <si>
    <t>NO:37/17</t>
  </si>
  <si>
    <t>66319357V</t>
  </si>
  <si>
    <t>R.NAVARATHNARAJAN</t>
  </si>
  <si>
    <t>NO:27/2</t>
  </si>
  <si>
    <t>770654206/767566643</t>
  </si>
  <si>
    <t>K.MURALEETHARAN</t>
  </si>
  <si>
    <t>NO:1/1</t>
  </si>
  <si>
    <t>661201223V</t>
  </si>
  <si>
    <t>R.RAJI</t>
  </si>
  <si>
    <t>714977896/713312319</t>
  </si>
  <si>
    <t>M.RUBATHEEBAN (PREM KADA)</t>
  </si>
  <si>
    <t>717565402/779090798</t>
  </si>
  <si>
    <t>890782850V</t>
  </si>
  <si>
    <t>NO:68</t>
  </si>
  <si>
    <t>G.SARAVANA KUMAR</t>
  </si>
  <si>
    <t>NO:199/2</t>
  </si>
  <si>
    <t>761513829/767467941</t>
  </si>
  <si>
    <t>208226/311814</t>
  </si>
  <si>
    <t>881952920v</t>
  </si>
  <si>
    <t>S.VINAYAGACHELVAN</t>
  </si>
  <si>
    <t>717930762V</t>
  </si>
  <si>
    <t>D.AJAI</t>
  </si>
  <si>
    <t>728040403/723300647/768000748</t>
  </si>
  <si>
    <t>R.RAJESH (ARALIYA)</t>
  </si>
  <si>
    <t>NO:35-5/2</t>
  </si>
  <si>
    <t>790425103V</t>
  </si>
  <si>
    <t>512225471/773177699</t>
  </si>
  <si>
    <t>NO:77A</t>
  </si>
  <si>
    <t>THANGANAYAGAN KUGAN</t>
  </si>
  <si>
    <t>NO:191/1</t>
  </si>
  <si>
    <t>516963697V</t>
  </si>
  <si>
    <t>A.KANDHASAMI</t>
  </si>
  <si>
    <t>NO:113/2A</t>
  </si>
  <si>
    <t>NO:57</t>
  </si>
  <si>
    <t>KUMUDHUNI PRIYANTHIKA</t>
  </si>
  <si>
    <t>NO:110/113</t>
  </si>
  <si>
    <t>771434294/702179095</t>
  </si>
  <si>
    <t>856611884V</t>
  </si>
  <si>
    <t>S.R.M.NIZAM</t>
  </si>
  <si>
    <t>NO:110/14</t>
  </si>
  <si>
    <t>DEIVENDRAN SIR (NODE)</t>
  </si>
  <si>
    <t>851370919V</t>
  </si>
  <si>
    <t>THUVAN MOURUF</t>
  </si>
  <si>
    <t>NO:110/5</t>
  </si>
  <si>
    <t>751733895V</t>
  </si>
  <si>
    <t xml:space="preserve">                                   </t>
  </si>
  <si>
    <t>P.M.T.JESURAJAN</t>
  </si>
  <si>
    <t>NO:108/17A</t>
  </si>
  <si>
    <t>777430569/721150010</t>
  </si>
  <si>
    <t>AHAMAD</t>
  </si>
  <si>
    <t>NO:110</t>
  </si>
  <si>
    <t>768630031/769688011</t>
  </si>
  <si>
    <t>796872640V</t>
  </si>
  <si>
    <t>H.D.SENAVARATNA BANDARA</t>
  </si>
  <si>
    <t>NO:27/1F</t>
  </si>
  <si>
    <t>661651288V</t>
  </si>
  <si>
    <t>INDRAKUMAR SIR</t>
  </si>
  <si>
    <t>NO:100</t>
  </si>
  <si>
    <t>P.RAMESH</t>
  </si>
  <si>
    <t>760241563V</t>
  </si>
  <si>
    <t>SUMATHI TEACHER</t>
  </si>
  <si>
    <t>J.ARULNAYAGI</t>
  </si>
  <si>
    <t>NO:49</t>
  </si>
  <si>
    <t>710421962/725463314</t>
  </si>
  <si>
    <t>62578397V</t>
  </si>
  <si>
    <t>NO:54</t>
  </si>
  <si>
    <t>S.NITHYANANTHAN</t>
  </si>
  <si>
    <t>NO:63</t>
  </si>
  <si>
    <t>714293442/713743434</t>
  </si>
  <si>
    <t>951850659V</t>
  </si>
  <si>
    <t>M.S.HUSSAIN</t>
  </si>
  <si>
    <t>NO:35/5</t>
  </si>
  <si>
    <t>651192820V</t>
  </si>
  <si>
    <t>A.NABIZA</t>
  </si>
  <si>
    <t>943531765V</t>
  </si>
  <si>
    <t>B.RAJAGOPAL</t>
  </si>
  <si>
    <t>NO:79/7</t>
  </si>
  <si>
    <t>575030670V</t>
  </si>
  <si>
    <t>I.KOGILADEVI</t>
  </si>
  <si>
    <t>NO:29/33</t>
  </si>
  <si>
    <t>466632104X</t>
  </si>
  <si>
    <t>N COLLECTION</t>
  </si>
  <si>
    <t>A.INDRA</t>
  </si>
  <si>
    <t>NO:45A</t>
  </si>
  <si>
    <t>77070350/772690490</t>
  </si>
  <si>
    <t>802992335V</t>
  </si>
  <si>
    <t>M.SASI (MS)</t>
  </si>
  <si>
    <t>862642325v</t>
  </si>
  <si>
    <t>LESLIE PILLAI</t>
  </si>
  <si>
    <t>522991500V</t>
  </si>
  <si>
    <t>R.VINUTHRA</t>
  </si>
  <si>
    <t>NO:96/5</t>
  </si>
  <si>
    <t>946060917V</t>
  </si>
  <si>
    <t xml:space="preserve">ALZAMAN </t>
  </si>
  <si>
    <t>713041011/775151827</t>
  </si>
  <si>
    <t>683483982V</t>
  </si>
  <si>
    <t>P.NAVARATNAM (MOVIS)</t>
  </si>
  <si>
    <t>NO:3A,UPPER</t>
  </si>
  <si>
    <t>S.SUNDHARAKUMAR</t>
  </si>
  <si>
    <t>MARY ANNE</t>
  </si>
  <si>
    <t>NO:295/J,BANK HOUSE RD</t>
  </si>
  <si>
    <t>GOBI KALA</t>
  </si>
  <si>
    <t>NO:36</t>
  </si>
  <si>
    <t>776680330/774577099</t>
  </si>
  <si>
    <t>847461691V</t>
  </si>
  <si>
    <t>K.VICNESVARAN</t>
  </si>
  <si>
    <t xml:space="preserve">NO:53 </t>
  </si>
  <si>
    <t>M.KANAGARATNAM</t>
  </si>
  <si>
    <t>NO:87/17</t>
  </si>
  <si>
    <t>CRN 2 TV</t>
  </si>
  <si>
    <t>770368/607866</t>
  </si>
  <si>
    <t>P.THIRUCHELVAM DHARSHINI</t>
  </si>
  <si>
    <t>NO:47/43</t>
  </si>
  <si>
    <t>779976925/771139328</t>
  </si>
  <si>
    <t>828463489V</t>
  </si>
  <si>
    <t>J.SOUNDAR RAJAN</t>
  </si>
  <si>
    <t>821492947V</t>
  </si>
  <si>
    <t>S.NIMALRAJ</t>
  </si>
  <si>
    <t>NO:136</t>
  </si>
  <si>
    <t>770099560/716665135</t>
  </si>
  <si>
    <t>863271509V</t>
  </si>
  <si>
    <t>PARAMANATHAN (MURUGAN STORES)</t>
  </si>
  <si>
    <t>NO:96A</t>
  </si>
  <si>
    <t>701193490X</t>
  </si>
  <si>
    <t>R.BASKARAN (NODE)</t>
  </si>
  <si>
    <t>NO:36/16B</t>
  </si>
  <si>
    <t>N.J.SAMSUDEEN(ASOKAS)</t>
  </si>
  <si>
    <t>NO:8,GUNAWARTHANA BUILD</t>
  </si>
  <si>
    <t>P.MAHINTHAN (VKR)</t>
  </si>
  <si>
    <t>SARAVANAS JEWELLERS</t>
  </si>
  <si>
    <t>NO:36/16</t>
  </si>
  <si>
    <t>F.C.M.ARTHUM</t>
  </si>
  <si>
    <t>512222485/777578633</t>
  </si>
  <si>
    <t>482994248V</t>
  </si>
  <si>
    <t>E.M.C.BALA (BOSS)</t>
  </si>
  <si>
    <t>NO:167/4</t>
  </si>
  <si>
    <t>570841459V</t>
  </si>
  <si>
    <t>R.THUSANTH (REGAL) NODE</t>
  </si>
  <si>
    <t>840370186V</t>
  </si>
  <si>
    <t>NO:83</t>
  </si>
  <si>
    <t>G.PRAJEEVAN (RDA) NODE</t>
  </si>
  <si>
    <t>NO:58</t>
  </si>
  <si>
    <t>872953949V</t>
  </si>
  <si>
    <t>S.KETHEESVARAN</t>
  </si>
  <si>
    <t>710382689V</t>
  </si>
  <si>
    <t>S.KAMALINI</t>
  </si>
  <si>
    <t>777726299/775058582</t>
  </si>
  <si>
    <t>K.DHARSHAN</t>
  </si>
  <si>
    <t>NO:295</t>
  </si>
  <si>
    <t>850170174V</t>
  </si>
  <si>
    <t>SUNFLOWER SHOP(K.YOGALINGAM)</t>
  </si>
  <si>
    <t>SITHAMBARAM (S.JEEVA)</t>
  </si>
  <si>
    <t>NO:65,MAIN STREET</t>
  </si>
  <si>
    <t>910720171V</t>
  </si>
  <si>
    <t>HATTON SUPLY</t>
  </si>
  <si>
    <t>S.AJANTHA(VKR PHARMACY)</t>
  </si>
  <si>
    <t>NO:271,FRUTILL</t>
  </si>
  <si>
    <t>867671773X</t>
  </si>
  <si>
    <t>SRI SHANMUGASH (HOME)</t>
  </si>
  <si>
    <t>773142858V</t>
  </si>
  <si>
    <t>UDHAYA KALA (SUPPU BOSS)</t>
  </si>
  <si>
    <t>NO:37/20,DISPENSARY RD</t>
  </si>
  <si>
    <t>512223850/777703022</t>
  </si>
  <si>
    <t>610302408V</t>
  </si>
  <si>
    <t>MS.NIKALAS RAJA</t>
  </si>
  <si>
    <t>NO:110/14C</t>
  </si>
  <si>
    <t>751575324/704535901</t>
  </si>
  <si>
    <t>GENERAL HARDWAREKARUNA)</t>
  </si>
  <si>
    <t>512222672/775785024</t>
  </si>
  <si>
    <t>681230521X</t>
  </si>
  <si>
    <t>SELVARANI (KALIGAMBAL)</t>
  </si>
  <si>
    <t>NO:79/1</t>
  </si>
  <si>
    <t>808041995V</t>
  </si>
  <si>
    <t>DR.VIJITHABALA</t>
  </si>
  <si>
    <t>760802603V</t>
  </si>
  <si>
    <t>S.NAGENDRAN</t>
  </si>
  <si>
    <t>NO:81/11</t>
  </si>
  <si>
    <t>520243054V</t>
  </si>
  <si>
    <t>MOHAMAD SIRAJ (FRUIT SHOP)</t>
  </si>
  <si>
    <t>NO:7,DICKOYA ROAD</t>
  </si>
  <si>
    <t>767651649/766929209</t>
  </si>
  <si>
    <t>881930404V</t>
  </si>
  <si>
    <t>THOMAS SENCY (585)</t>
  </si>
  <si>
    <t>588199/590203</t>
  </si>
  <si>
    <t>686743063V</t>
  </si>
  <si>
    <t>M.PARAMESVARAN</t>
  </si>
  <si>
    <t>NO:95</t>
  </si>
  <si>
    <t>M.JAINOORDEEN</t>
  </si>
  <si>
    <t>NO:16/59A</t>
  </si>
  <si>
    <t>773662645/715891285</t>
  </si>
  <si>
    <t>NO:38</t>
  </si>
  <si>
    <t>AMBIGA RAJAN</t>
  </si>
  <si>
    <t>601021579V</t>
  </si>
  <si>
    <t>J.KARTHIK</t>
  </si>
  <si>
    <t>NO:167/27</t>
  </si>
  <si>
    <t>K.SIVABALAN(VANI SALOON)</t>
  </si>
  <si>
    <r>
      <rPr>
        <sz val="11"/>
        <color rgb="FFC00000"/>
        <rFont val="Calibri"/>
        <family val="2"/>
        <scheme val="minor"/>
      </rPr>
      <t>104888</t>
    </r>
    <r>
      <rPr>
        <sz val="11"/>
        <color theme="1"/>
        <rFont val="Calibri"/>
        <family val="2"/>
        <scheme val="minor"/>
      </rPr>
      <t>/222623</t>
    </r>
  </si>
  <si>
    <t>680383448V</t>
  </si>
  <si>
    <t>M.JANAGAN</t>
  </si>
  <si>
    <t>920793045V</t>
  </si>
  <si>
    <t>R.KRISHNAVENI (TEACHER)</t>
  </si>
  <si>
    <t>NO:186/40A</t>
  </si>
  <si>
    <t>778894374/716572751</t>
  </si>
  <si>
    <t>706480803V</t>
  </si>
  <si>
    <t>M.M.RASIC</t>
  </si>
  <si>
    <t>285317/097274</t>
  </si>
  <si>
    <t>810852828V</t>
  </si>
  <si>
    <t>KARUPAIYA CHANDRAKANTH(NODE)</t>
  </si>
  <si>
    <t>773552150V</t>
  </si>
  <si>
    <t>DANAPALAN SIR (NODE)</t>
  </si>
  <si>
    <t>NO:199/57A</t>
  </si>
  <si>
    <t>512224222/715840479</t>
  </si>
  <si>
    <t>600490443V</t>
  </si>
  <si>
    <t>M.S.M.KUDDUS (NODE)</t>
  </si>
  <si>
    <t>751360827V</t>
  </si>
  <si>
    <t>V.SIVANANTHAN</t>
  </si>
  <si>
    <t>17/08/2021:5/7/24</t>
  </si>
  <si>
    <t>760572861V</t>
  </si>
  <si>
    <t>HNB BANK</t>
  </si>
  <si>
    <t>S.MANOHAR</t>
  </si>
  <si>
    <t>NO:30/2</t>
  </si>
  <si>
    <t>652163246V</t>
  </si>
  <si>
    <t>S.JEGADHEESVARAN</t>
  </si>
  <si>
    <t>NO:46/1</t>
  </si>
  <si>
    <t>750573150V</t>
  </si>
  <si>
    <t>NO:118</t>
  </si>
  <si>
    <t>642422065V</t>
  </si>
  <si>
    <t>DR.DHARMAPRIYA</t>
  </si>
  <si>
    <t>NO:60/2,CO-UP BUILDING</t>
  </si>
  <si>
    <t>642131281V</t>
  </si>
  <si>
    <t>NO:67</t>
  </si>
  <si>
    <t>M.SELVARANI</t>
  </si>
  <si>
    <t>NO:5</t>
  </si>
  <si>
    <t>657241849X</t>
  </si>
  <si>
    <t>NIYAS(VICTOR)</t>
  </si>
  <si>
    <t>NO:17/1</t>
  </si>
  <si>
    <t>L.ANGELINA</t>
  </si>
  <si>
    <t>NO:8/1</t>
  </si>
  <si>
    <t>840015866V</t>
  </si>
  <si>
    <t>KANDASAMY SUMATHY</t>
  </si>
  <si>
    <t>NO:199/56</t>
  </si>
  <si>
    <t>857600843V</t>
  </si>
  <si>
    <t>J.REJINOLD</t>
  </si>
  <si>
    <t>832124052V</t>
  </si>
  <si>
    <t>P.SUMARESH</t>
  </si>
  <si>
    <t>NO:113/6</t>
  </si>
  <si>
    <t>793080689V</t>
  </si>
  <si>
    <t>NO:44</t>
  </si>
  <si>
    <t>SDM.MAHAROOF</t>
  </si>
  <si>
    <t>NO:48A/36</t>
  </si>
  <si>
    <t>630982529V</t>
  </si>
  <si>
    <t>S.MAGESHVARAN (ABANS)</t>
  </si>
  <si>
    <t>NO:218/A</t>
  </si>
  <si>
    <t>750341020V</t>
  </si>
  <si>
    <t xml:space="preserve">K.PUSHPANATHAN </t>
  </si>
  <si>
    <t>NO:48A,2ND LANE</t>
  </si>
  <si>
    <t>512223691/779850058</t>
  </si>
  <si>
    <t>611471807V</t>
  </si>
  <si>
    <t>L.GANATEEBAN (NODE)</t>
  </si>
  <si>
    <t>NO:28A,2ND LANE</t>
  </si>
  <si>
    <t>941792936V</t>
  </si>
  <si>
    <t>S.SUBASHINI (K.FASHION)</t>
  </si>
  <si>
    <t>NO:295L,2ND LANE</t>
  </si>
  <si>
    <t>272883/080734</t>
  </si>
  <si>
    <t>A.M.I.HASSAN (NODE)</t>
  </si>
  <si>
    <t>882571530V</t>
  </si>
  <si>
    <t>T.MUTHUKOWNDAR</t>
  </si>
  <si>
    <t>NO:47/8</t>
  </si>
  <si>
    <t>773890143/716848160</t>
  </si>
  <si>
    <t>681184112X</t>
  </si>
  <si>
    <t>M.THIRUNAVUKARASU(SHANTHI JEWELLERS)</t>
  </si>
  <si>
    <t>NO:45,MAIN STREET</t>
  </si>
  <si>
    <t>710860882X</t>
  </si>
  <si>
    <t>THARINTHU LAKMAL</t>
  </si>
  <si>
    <t>NO:28/5</t>
  </si>
  <si>
    <t>768373793/761946479</t>
  </si>
  <si>
    <t>863353874V</t>
  </si>
  <si>
    <t>NO:34,SF RD</t>
  </si>
  <si>
    <t>719015982/710561751</t>
  </si>
  <si>
    <t>671952510X</t>
  </si>
  <si>
    <t>S.PRATHIBAN(LAUNDRY)</t>
  </si>
  <si>
    <t>NO:229/B</t>
  </si>
  <si>
    <t>810855070V</t>
  </si>
  <si>
    <t>MOHAMED FAWZAN (KASMEER)</t>
  </si>
  <si>
    <t>NO:29/1B</t>
  </si>
  <si>
    <t>861760294V</t>
  </si>
  <si>
    <t>BALACHANDRAN (AMMAN FANCY)</t>
  </si>
  <si>
    <t>NO:42/5</t>
  </si>
  <si>
    <t>512222014/717567243</t>
  </si>
  <si>
    <t>723623570V</t>
  </si>
  <si>
    <t>M.SAMSUDEEN</t>
  </si>
  <si>
    <t>NO:32/8</t>
  </si>
  <si>
    <t>663381660V</t>
  </si>
  <si>
    <t>DHARMA (BADA)</t>
  </si>
  <si>
    <t>NO:14,SIDE STREET</t>
  </si>
  <si>
    <t>811934399V</t>
  </si>
  <si>
    <t>K.LAKSHAN</t>
  </si>
  <si>
    <t>NO:61/2A</t>
  </si>
  <si>
    <t>KANDASAMY SUTHA</t>
  </si>
  <si>
    <t>512223700/718078220</t>
  </si>
  <si>
    <t>K.SUGUMAR</t>
  </si>
  <si>
    <t>JORJ SIR</t>
  </si>
  <si>
    <t>677533102V</t>
  </si>
  <si>
    <t>R.KRISHANTHINI (M.GNANES)</t>
  </si>
  <si>
    <t>713550779/716669655</t>
  </si>
  <si>
    <t>851124047V</t>
  </si>
  <si>
    <t>M.BALASUBRAMANIYAM</t>
  </si>
  <si>
    <t>NO:21/1B</t>
  </si>
  <si>
    <t>773767024/512222900</t>
  </si>
  <si>
    <t>640330821V</t>
  </si>
  <si>
    <t>P.SURENDHRAN(VAGINI STUDIOS)</t>
  </si>
  <si>
    <t>NO:37E</t>
  </si>
  <si>
    <t>850011214V</t>
  </si>
  <si>
    <t>S.DHAYANANTHAN</t>
  </si>
  <si>
    <t>VASANTHA MALIGAI (DINESH)</t>
  </si>
  <si>
    <t>803221987X</t>
  </si>
  <si>
    <t>NO:33B</t>
  </si>
  <si>
    <t>M.T.M.FAZLEEM</t>
  </si>
  <si>
    <t>NO:48/2</t>
  </si>
  <si>
    <t>JASO KUMAR SHARMA</t>
  </si>
  <si>
    <t>NO:60,SF ROAD</t>
  </si>
  <si>
    <t>662294365V</t>
  </si>
  <si>
    <t xml:space="preserve">P.SHANMUGARAJA </t>
  </si>
  <si>
    <t>NO:90/6A</t>
  </si>
  <si>
    <t>731491178V</t>
  </si>
  <si>
    <t>S.RAJKUMAR</t>
  </si>
  <si>
    <t>806053627V</t>
  </si>
  <si>
    <t>V.MURALEETHARAN</t>
  </si>
  <si>
    <t>781092622X</t>
  </si>
  <si>
    <t>HANEEFA BADURDEEN NONA</t>
  </si>
  <si>
    <t>NO:17</t>
  </si>
  <si>
    <t>770286538/766040894</t>
  </si>
  <si>
    <t>S.FELIX</t>
  </si>
  <si>
    <t>NO:36/50</t>
  </si>
  <si>
    <t>750932568V</t>
  </si>
  <si>
    <t>SURANGANI PERERA</t>
  </si>
  <si>
    <t>NO:62,SF RD</t>
  </si>
  <si>
    <t>621764284V</t>
  </si>
  <si>
    <t xml:space="preserve">SIVASUNDHARI NADARAJA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</si>
  <si>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638163071V</t>
  </si>
  <si>
    <t>V.BRINDHA</t>
  </si>
  <si>
    <t>NO:18/28</t>
  </si>
  <si>
    <t>935683971V</t>
  </si>
  <si>
    <t>Y.SHANTHEE</t>
  </si>
  <si>
    <t>725031238V</t>
  </si>
  <si>
    <t>L.L.JULIAN</t>
  </si>
  <si>
    <t>NO:199/25</t>
  </si>
  <si>
    <t>126154`</t>
  </si>
  <si>
    <t>577572062V</t>
  </si>
  <si>
    <t>R.JEYAPRASATH</t>
  </si>
  <si>
    <t>741556694/777331760</t>
  </si>
  <si>
    <t>921781121V</t>
  </si>
  <si>
    <t>V.MANOJ</t>
  </si>
  <si>
    <t>NO:51/A</t>
  </si>
  <si>
    <t>R.YAGONDRAN</t>
  </si>
  <si>
    <t>NO:90/1/2</t>
  </si>
  <si>
    <t>860081490V</t>
  </si>
  <si>
    <t>H.A.SARATH</t>
  </si>
  <si>
    <t>715910841/512224879</t>
  </si>
  <si>
    <t>590782610V</t>
  </si>
  <si>
    <t>PARAMSOTHY PARAGNANAM (DOCTOR)</t>
  </si>
  <si>
    <t>512222729/719823310</t>
  </si>
  <si>
    <t>662981397v</t>
  </si>
  <si>
    <t>A.SAMATH</t>
  </si>
  <si>
    <t>SHANMUGAM SUBRAMANIYAM</t>
  </si>
  <si>
    <t>711894391/701103198</t>
  </si>
  <si>
    <t>581642393V</t>
  </si>
  <si>
    <t>K.VIJIDHARAN</t>
  </si>
  <si>
    <t>NO:47/20</t>
  </si>
  <si>
    <t>716664818/766669878</t>
  </si>
  <si>
    <t>G.YOGAPREKAS(MEGUL)</t>
  </si>
  <si>
    <t>NO:167/14</t>
  </si>
  <si>
    <t>702741548X</t>
  </si>
  <si>
    <t>WAZEEM</t>
  </si>
  <si>
    <t>146558/090269</t>
  </si>
  <si>
    <t>970681418V</t>
  </si>
  <si>
    <t>JALEEL BOOSO(NODE)</t>
  </si>
  <si>
    <t>512222673/774110494</t>
  </si>
  <si>
    <t>590592820V</t>
  </si>
  <si>
    <t>S.UDHAYA KUMAR</t>
  </si>
  <si>
    <t>723434505X</t>
  </si>
  <si>
    <t>BOC BANK STAFF QUARTERS</t>
  </si>
  <si>
    <t>366909/378946</t>
  </si>
  <si>
    <t>MOORTHI (CENTRAL MEDICAL)</t>
  </si>
  <si>
    <t>611810563V</t>
  </si>
  <si>
    <t>J.SIVAKUMAR</t>
  </si>
  <si>
    <t>NO:84/1,DICKOYA RD</t>
  </si>
  <si>
    <t>771111570/713777650</t>
  </si>
  <si>
    <t>841054458V</t>
  </si>
  <si>
    <t>MATHIYALAGAN (VASANTHAMALIGAI)</t>
  </si>
  <si>
    <t>NO:32/13A</t>
  </si>
  <si>
    <t>R.JEYASUNDARAM</t>
  </si>
  <si>
    <t>715174391V</t>
  </si>
  <si>
    <t>PAPPU JOHNSON</t>
  </si>
  <si>
    <t>891293186V</t>
  </si>
  <si>
    <t>IRUSHAN THAVACHELVAM</t>
  </si>
  <si>
    <t>770654307/773035460</t>
  </si>
  <si>
    <t>792962742V</t>
  </si>
  <si>
    <t>KOMATHY GRIDHARAN</t>
  </si>
  <si>
    <t>NO:45/1</t>
  </si>
  <si>
    <t>766152279V</t>
  </si>
  <si>
    <t>K.DHARSHAN (MEC MAHARAJ)</t>
  </si>
  <si>
    <t>852170174V</t>
  </si>
  <si>
    <t>K.PUNNIYALAKSMI</t>
  </si>
  <si>
    <t>746662378V</t>
  </si>
  <si>
    <t>A.SELVANATHAN</t>
  </si>
  <si>
    <t>NO:27/1</t>
  </si>
  <si>
    <t>718060471/512223240</t>
  </si>
  <si>
    <t>711584005V</t>
  </si>
  <si>
    <t>DHEVA PRADEEP</t>
  </si>
  <si>
    <t>891912129V</t>
  </si>
  <si>
    <t>SINNASAMI PALANIVEL</t>
  </si>
  <si>
    <t>NO:84/14</t>
  </si>
  <si>
    <t>BALACHANDRAN (CHAIRMAN)</t>
  </si>
  <si>
    <t>643430851V</t>
  </si>
  <si>
    <t xml:space="preserve">K.VIJAYARAJAN </t>
  </si>
  <si>
    <t>NO:73/A</t>
  </si>
  <si>
    <t>770699564/775357423</t>
  </si>
  <si>
    <t>810190990X</t>
  </si>
  <si>
    <t>U.SUGANTHY (NORWOOD)</t>
  </si>
  <si>
    <t>761204224/715184224</t>
  </si>
  <si>
    <t>DR.K.NADARAJ</t>
  </si>
  <si>
    <t>NO:271,COLOMBO RD</t>
  </si>
  <si>
    <t>N.GANESHAN (NALINI VILAZ)</t>
  </si>
  <si>
    <t>712544635V</t>
  </si>
  <si>
    <t>K.BATHMARAJA</t>
  </si>
  <si>
    <t>701710940V</t>
  </si>
  <si>
    <t>MOHAMAD RIZVI</t>
  </si>
  <si>
    <t>NO:21</t>
  </si>
  <si>
    <t>772804598V</t>
  </si>
  <si>
    <t>S.PUSHPARANI</t>
  </si>
  <si>
    <t>NO:110/23</t>
  </si>
  <si>
    <t>V.PANCHAVARNAN(PANCHA)</t>
  </si>
  <si>
    <t>NO:43A</t>
  </si>
  <si>
    <t>810402873V</t>
  </si>
  <si>
    <t>R.THIRUTHANI KUMAR (LAA ADAMS)</t>
  </si>
  <si>
    <t>NO:8/2B</t>
  </si>
  <si>
    <t>827002844V</t>
  </si>
  <si>
    <t>B.RENUKA</t>
  </si>
  <si>
    <t>NO:48/35</t>
  </si>
  <si>
    <t>PN.SUPPAIYA(ANANDHA MEDICAL)</t>
  </si>
  <si>
    <t>3608611457V</t>
  </si>
  <si>
    <t>D.A.SAMUEL</t>
  </si>
  <si>
    <t>NO:133</t>
  </si>
  <si>
    <t>560191880V</t>
  </si>
  <si>
    <t>P.YOGENDRAN (ROBINAS)</t>
  </si>
  <si>
    <t>NO:79/19</t>
  </si>
  <si>
    <t>733581212V</t>
  </si>
  <si>
    <t>P.SHANMUGANATHAN(SARANYA)</t>
  </si>
  <si>
    <t>NO:206B</t>
  </si>
  <si>
    <t>N.BALASUNDHARAM</t>
  </si>
  <si>
    <t>NO:220</t>
  </si>
  <si>
    <t>480415051V</t>
  </si>
  <si>
    <t>S.SITSORUBAN</t>
  </si>
  <si>
    <t>NO:3,POINSTAR</t>
  </si>
  <si>
    <t>743751446/772151446</t>
  </si>
  <si>
    <t>882223868V</t>
  </si>
  <si>
    <t>M.J.THUWAN SHERIF</t>
  </si>
  <si>
    <t>NO:26/1,KOVIL RD</t>
  </si>
  <si>
    <t>515250557V</t>
  </si>
  <si>
    <t>BALA SANGU PILLAI</t>
  </si>
  <si>
    <t>NO:86/10A</t>
  </si>
  <si>
    <t>571231284V</t>
  </si>
  <si>
    <t>R.SELLADHURAI GS</t>
  </si>
  <si>
    <t>NO:50/5</t>
  </si>
  <si>
    <t>776996324/771882321</t>
  </si>
  <si>
    <t>708472239V</t>
  </si>
  <si>
    <t>S.SIVAKUMARAN(KUGANS)</t>
  </si>
  <si>
    <t>N0:3/1</t>
  </si>
  <si>
    <t>512222135/777599760</t>
  </si>
  <si>
    <t>T.DAYAN</t>
  </si>
  <si>
    <t>M.SAJITH (SITHY NIHAR)</t>
  </si>
  <si>
    <t>774249848/742985444</t>
  </si>
  <si>
    <t>925814300V</t>
  </si>
  <si>
    <t>A.SUTHAKARAN</t>
  </si>
  <si>
    <t>778022553/714152778</t>
  </si>
  <si>
    <t>MATHEW SIVAKUMARI</t>
  </si>
  <si>
    <t>NO:70</t>
  </si>
  <si>
    <t>785942809V</t>
  </si>
  <si>
    <t xml:space="preserve">SELVAM (KAVIDHAS) </t>
  </si>
  <si>
    <t>NO:18/1</t>
  </si>
  <si>
    <t>716055564/758994897</t>
  </si>
  <si>
    <t>157498/177132</t>
  </si>
  <si>
    <t>NO:36/47</t>
  </si>
  <si>
    <t>643613476V</t>
  </si>
  <si>
    <t>T.S.POOSO</t>
  </si>
  <si>
    <t>NO:47/18</t>
  </si>
  <si>
    <t>678471240V</t>
  </si>
  <si>
    <t>R.SUNDRALINGAM</t>
  </si>
  <si>
    <t>NO:73</t>
  </si>
  <si>
    <t>775150513/778585692</t>
  </si>
  <si>
    <t>M.SARATHA DEVI</t>
  </si>
  <si>
    <t>712043962/776020972</t>
  </si>
  <si>
    <t>756223151V</t>
  </si>
  <si>
    <t>SIVA DICKOYA HOSPITAL</t>
  </si>
  <si>
    <t>813004771V</t>
  </si>
  <si>
    <t>K.SIVANATHAN (KUMARAN STORES)</t>
  </si>
  <si>
    <t>NO:167/17</t>
  </si>
  <si>
    <t>V.LINGESHVARI</t>
  </si>
  <si>
    <t>NO:12/43</t>
  </si>
  <si>
    <t>936144128V</t>
  </si>
  <si>
    <t>K.RAVICHANDRAN</t>
  </si>
  <si>
    <t>842362377V</t>
  </si>
  <si>
    <t>B.NITHYANANTHAN</t>
  </si>
  <si>
    <t>717773374/712991374</t>
  </si>
  <si>
    <t>871083045V</t>
  </si>
  <si>
    <t>H.D.N.SAMEERA</t>
  </si>
  <si>
    <t>719711332/716962496</t>
  </si>
  <si>
    <t>920304478V</t>
  </si>
  <si>
    <t>A.PRABAKARAN (RITHISE BOSS)</t>
  </si>
  <si>
    <t>NO:88/21</t>
  </si>
  <si>
    <t>7773897990/512222529</t>
  </si>
  <si>
    <t>143399/347297</t>
  </si>
  <si>
    <t>823504128V</t>
  </si>
  <si>
    <t>R.CHANDRIKA TEACHER</t>
  </si>
  <si>
    <t>729308192/512225761</t>
  </si>
  <si>
    <t>666770919v</t>
  </si>
  <si>
    <t>SAMUTHRA STORES(KRISHNAKUMAR)</t>
  </si>
  <si>
    <t>680134286V</t>
  </si>
  <si>
    <t>DEBAMS</t>
  </si>
  <si>
    <t>NO:77/J</t>
  </si>
  <si>
    <t>SOUNDRARAJAN PRAKASH</t>
  </si>
  <si>
    <t>NO:55</t>
  </si>
  <si>
    <t>SUMAIYA</t>
  </si>
  <si>
    <t>NO:11/1A</t>
  </si>
  <si>
    <t>717771333/777518685</t>
  </si>
  <si>
    <t>827264245V</t>
  </si>
  <si>
    <t>NM.IRFAN</t>
  </si>
  <si>
    <t>7670777790/760644477</t>
  </si>
  <si>
    <t>940105323V</t>
  </si>
  <si>
    <t>THIRUCHELVAM LAWYER(HOME)</t>
  </si>
  <si>
    <t>Y.SUJITH</t>
  </si>
  <si>
    <t>766858039/716785133</t>
  </si>
  <si>
    <t>RISHANA (SIRAJ) [NODE]</t>
  </si>
  <si>
    <t>NO:85/3</t>
  </si>
  <si>
    <t>766793842/759454985</t>
  </si>
  <si>
    <t>767264194V</t>
  </si>
  <si>
    <t>J.DINESH KUMAR(DARAZ)</t>
  </si>
  <si>
    <t>NO:36/24A</t>
  </si>
  <si>
    <t>890954146V</t>
  </si>
  <si>
    <t>A.MURUKESU</t>
  </si>
  <si>
    <t>711478695/710133712</t>
  </si>
  <si>
    <t xml:space="preserve">MOHAMAD RIYALDEEN </t>
  </si>
  <si>
    <t>NO:11</t>
  </si>
  <si>
    <t>772944179V</t>
  </si>
  <si>
    <t>B.KRISHNA KUMAR</t>
  </si>
  <si>
    <t>NO:108/24</t>
  </si>
  <si>
    <t>765454214/765478987</t>
  </si>
  <si>
    <t>632944829V</t>
  </si>
  <si>
    <t>S.PALANIYANDY</t>
  </si>
  <si>
    <t>702456616/753442737</t>
  </si>
  <si>
    <t>561233063v</t>
  </si>
  <si>
    <t>M.PATHMARANJINI</t>
  </si>
  <si>
    <t>770335059/762447828</t>
  </si>
  <si>
    <t>707813563V</t>
  </si>
  <si>
    <t>N.SUNDARESHAN(KARTHIGA JEWELLERS)</t>
  </si>
  <si>
    <t>NO:69/5A</t>
  </si>
  <si>
    <t>633131619X</t>
  </si>
  <si>
    <t>T.VIJI</t>
  </si>
  <si>
    <t>NO:108/6A</t>
  </si>
  <si>
    <t>S.BAJARDEEN</t>
  </si>
  <si>
    <t>7276103480V</t>
  </si>
  <si>
    <t>KANAPATHY THILAGAN</t>
  </si>
  <si>
    <t>753640860V</t>
  </si>
  <si>
    <t>Y.RENUKA DEVI (KANNA)</t>
  </si>
  <si>
    <t>NO:81/7B</t>
  </si>
  <si>
    <t>755893536X</t>
  </si>
  <si>
    <t>B.VINOTH KUMAR</t>
  </si>
  <si>
    <t>NO:78</t>
  </si>
  <si>
    <t>779589698/777512282</t>
  </si>
  <si>
    <t>376114/087372</t>
  </si>
  <si>
    <t>471762229V</t>
  </si>
  <si>
    <t>G.MALATHI (GERAT)</t>
  </si>
  <si>
    <t>691111776V</t>
  </si>
  <si>
    <t>SITHI NALINA</t>
  </si>
  <si>
    <t>A.G.M.SANUN</t>
  </si>
  <si>
    <t>NO:24,SF RD</t>
  </si>
  <si>
    <t>K.SINDHUJA</t>
  </si>
  <si>
    <t>NO:105/2</t>
  </si>
  <si>
    <t>865134290V</t>
  </si>
  <si>
    <t>A.CHARLS</t>
  </si>
  <si>
    <t xml:space="preserve">NO:55 </t>
  </si>
  <si>
    <t>841093674V</t>
  </si>
  <si>
    <t>R.RATHAKRISHNAN</t>
  </si>
  <si>
    <t>NO:68/111,2ND LANE</t>
  </si>
  <si>
    <t>741261413X</t>
  </si>
  <si>
    <t>K.SUBASHINI</t>
  </si>
  <si>
    <t>NO:48A</t>
  </si>
  <si>
    <t>MSM.RASIK</t>
  </si>
  <si>
    <t>718584744V</t>
  </si>
  <si>
    <t>M.YOGANATHAN</t>
  </si>
  <si>
    <t>NO:81/8</t>
  </si>
  <si>
    <t>772787127/715686777</t>
  </si>
  <si>
    <t>M.NISTHAR</t>
  </si>
  <si>
    <t>NO:37/1</t>
  </si>
  <si>
    <t>K.PRASHANTH</t>
  </si>
  <si>
    <t>NO:91</t>
  </si>
  <si>
    <t>777103295/771295111</t>
  </si>
  <si>
    <t>NO:13B,DICKOYA RD</t>
  </si>
  <si>
    <t>512223094/777372163</t>
  </si>
  <si>
    <t>622894349V</t>
  </si>
  <si>
    <t>RAJA SALOON</t>
  </si>
  <si>
    <t>NIPON SALOON</t>
  </si>
  <si>
    <t>NO:46</t>
  </si>
  <si>
    <t>715947437/765750560</t>
  </si>
  <si>
    <t>621203606V</t>
  </si>
  <si>
    <t>PRASANTH SALOON</t>
  </si>
  <si>
    <t>NO:48</t>
  </si>
  <si>
    <t>K.SRIKANTH</t>
  </si>
  <si>
    <t xml:space="preserve">NO:45 </t>
  </si>
  <si>
    <t>761986618/767123383</t>
  </si>
  <si>
    <t>925682322V</t>
  </si>
  <si>
    <t>R.GOBINATH(SWIS TAILOR SHOP)</t>
  </si>
  <si>
    <t>NO:9B</t>
  </si>
  <si>
    <t>873111755V</t>
  </si>
  <si>
    <t>S.NAVANEETHAN(JOTHI TEXTTILES )</t>
  </si>
  <si>
    <t>NO:167/20A</t>
  </si>
  <si>
    <t>703250114X</t>
  </si>
  <si>
    <t>752644136V</t>
  </si>
  <si>
    <t>P.KRISHNNAN (NODE)</t>
  </si>
  <si>
    <t>NO:24A</t>
  </si>
  <si>
    <t>775742283V</t>
  </si>
  <si>
    <t>R.KRISHNAKUMAR</t>
  </si>
  <si>
    <t>NO:277</t>
  </si>
  <si>
    <t>721642933V</t>
  </si>
  <si>
    <t>S.SELVARAJA</t>
  </si>
  <si>
    <t>NO:199/1</t>
  </si>
  <si>
    <t>S.JEYAPRIYA</t>
  </si>
  <si>
    <t>877271374V</t>
  </si>
  <si>
    <t>I.SHADHIK</t>
  </si>
  <si>
    <t>8804139700V</t>
  </si>
  <si>
    <t>S.SANGAIYA</t>
  </si>
  <si>
    <t>471293059V</t>
  </si>
  <si>
    <t>R.SASIKALA</t>
  </si>
  <si>
    <t>NO:36D</t>
  </si>
  <si>
    <t>778942045/775389533</t>
  </si>
  <si>
    <t>728522623V</t>
  </si>
  <si>
    <t>512222465/771410157</t>
  </si>
  <si>
    <t>501415162X</t>
  </si>
  <si>
    <t>P.HARIKRISHNAN</t>
  </si>
  <si>
    <t>NO:69</t>
  </si>
  <si>
    <t>290224/423965</t>
  </si>
  <si>
    <t>950094184v</t>
  </si>
  <si>
    <t>P.BASKAR(MERCHANT BANK)</t>
  </si>
  <si>
    <t>770192587X</t>
  </si>
  <si>
    <t>A.RAJAGURU</t>
  </si>
  <si>
    <t>NO:49/3</t>
  </si>
  <si>
    <t>MAM.USMAN</t>
  </si>
  <si>
    <t>775629692/704439857</t>
  </si>
  <si>
    <t>982874190V</t>
  </si>
  <si>
    <t>BALACHANDRAN</t>
  </si>
  <si>
    <t>635173602v</t>
  </si>
  <si>
    <t>KANDHAIYA ARUNAGIRINATHAN</t>
  </si>
  <si>
    <t>701119555/773308992</t>
  </si>
  <si>
    <t>M.YOGARAJ</t>
  </si>
  <si>
    <t>652492347V</t>
  </si>
  <si>
    <t>KOGUL (G.N.THANGAMALIGAI)</t>
  </si>
  <si>
    <t>812133942V</t>
  </si>
  <si>
    <t>S.A.AUGASTIAN</t>
  </si>
  <si>
    <t>NO:88</t>
  </si>
  <si>
    <t>777523086/764655646</t>
  </si>
  <si>
    <t>N.VINOTHARAN</t>
  </si>
  <si>
    <t>782660780V</t>
  </si>
  <si>
    <t>M.VIJAYARATNAM</t>
  </si>
  <si>
    <t>NO:82</t>
  </si>
  <si>
    <t>D.PARAMESHVARAN</t>
  </si>
  <si>
    <t>NO:18/1,D.H.S RD</t>
  </si>
  <si>
    <t>718286799/777141297</t>
  </si>
  <si>
    <t>718611598V</t>
  </si>
  <si>
    <t>S.VISVANATHAN(JOTHI TEXT)</t>
  </si>
  <si>
    <t>601353377X</t>
  </si>
  <si>
    <t>J.DHASARATHAN</t>
  </si>
  <si>
    <t>NO:27</t>
  </si>
  <si>
    <t>737120643X</t>
  </si>
  <si>
    <t>IMAN VICTOR</t>
  </si>
  <si>
    <t xml:space="preserve">NO:26/1 </t>
  </si>
  <si>
    <t>767521127/778943398</t>
  </si>
  <si>
    <t>ZAWAHEER</t>
  </si>
  <si>
    <t>775713214/753138542</t>
  </si>
  <si>
    <t>836414250v</t>
  </si>
  <si>
    <t>ALAGESHVARI FANCY</t>
  </si>
  <si>
    <t>NO:86/12</t>
  </si>
  <si>
    <t>583082700X</t>
  </si>
  <si>
    <t>A.KETHEESVARAN (KARPAGAM STORES)</t>
  </si>
  <si>
    <t>NO:46/3A</t>
  </si>
  <si>
    <t>842041503V</t>
  </si>
  <si>
    <t>S.RAJAN(PRINCIPAL)</t>
  </si>
  <si>
    <t>NO:86/4A</t>
  </si>
  <si>
    <t>718154749/773789292</t>
  </si>
  <si>
    <t>721311953V</t>
  </si>
  <si>
    <t>V.KANAGARAJ(SAMANPURA BAR) {HOME}</t>
  </si>
  <si>
    <t>NO:295M,DIMBULLA RD</t>
  </si>
  <si>
    <t>A.B.FALILA</t>
  </si>
  <si>
    <t>R.SHANKARA MANIWANNAN</t>
  </si>
  <si>
    <t>270911/357841</t>
  </si>
  <si>
    <t>710593965V</t>
  </si>
  <si>
    <t>MURUKESU</t>
  </si>
  <si>
    <t>NO:47/5B</t>
  </si>
  <si>
    <t>740376154/773506712</t>
  </si>
  <si>
    <t>515610138V</t>
  </si>
  <si>
    <t>MOHAMAD FAZAL</t>
  </si>
  <si>
    <t>863043301V</t>
  </si>
  <si>
    <t>S.JESU (THENAMUTHU)</t>
  </si>
  <si>
    <t>753462279V</t>
  </si>
  <si>
    <t>S.JEYAKALA</t>
  </si>
  <si>
    <t>713496091/778542002</t>
  </si>
  <si>
    <t>R.MANOHARI</t>
  </si>
  <si>
    <t>NO:28/7</t>
  </si>
  <si>
    <t>S.PRANAVAN(ODITOR)</t>
  </si>
  <si>
    <t>NO:295/10,FRUTILL</t>
  </si>
  <si>
    <t>986055/157407</t>
  </si>
  <si>
    <t>800011574V</t>
  </si>
  <si>
    <t>B.KALIDHAS(YUVARAJ)</t>
  </si>
  <si>
    <t>NO:25</t>
  </si>
  <si>
    <t>766428383/705514530</t>
  </si>
  <si>
    <t>M.JEYARANI</t>
  </si>
  <si>
    <t>647090621v</t>
  </si>
  <si>
    <t>BALASUBRAMANIYAM SKANTHARAJ</t>
  </si>
  <si>
    <t>NO:275</t>
  </si>
  <si>
    <t>793142293V</t>
  </si>
  <si>
    <t>A.SELASTIAN</t>
  </si>
  <si>
    <t>778233901/764446946</t>
  </si>
  <si>
    <t>R.PREMARANJAN(UC PRIYA)</t>
  </si>
  <si>
    <t xml:space="preserve">NO:41 </t>
  </si>
  <si>
    <t>SM.RIZWI</t>
  </si>
  <si>
    <t>762224144/717744144</t>
  </si>
  <si>
    <t>DR.N.JEYANANTHAN</t>
  </si>
  <si>
    <t>NO:19/11A</t>
  </si>
  <si>
    <t>512224058/773366763</t>
  </si>
  <si>
    <t>K.SIVAKUMAR (KIDS)</t>
  </si>
  <si>
    <t>NO:19/158,FRUTILL</t>
  </si>
  <si>
    <t>682601469V</t>
  </si>
  <si>
    <t>S.AKILAN</t>
  </si>
  <si>
    <t>512223292/777278618</t>
  </si>
  <si>
    <t>S.MANOKARAN</t>
  </si>
  <si>
    <t>557582673V</t>
  </si>
  <si>
    <t>K.RAJKUMAR</t>
  </si>
  <si>
    <t>NO:32/1A</t>
  </si>
  <si>
    <t>765383201/775085805</t>
  </si>
  <si>
    <t>R.NIVEDHAN</t>
  </si>
  <si>
    <t>RAMAIYA JEGADEESAN(JEYA JEWELLERS)</t>
  </si>
  <si>
    <t>K.PRASANNA (ASP)</t>
  </si>
  <si>
    <t>833012525V</t>
  </si>
  <si>
    <t>S.KALAICHELVI</t>
  </si>
  <si>
    <t>V.MAHESHWARY (UMESH CLS TEACH)</t>
  </si>
  <si>
    <t>NO:36/6</t>
  </si>
  <si>
    <t>SUNDAR(C.COM)</t>
  </si>
  <si>
    <t>948391589V</t>
  </si>
  <si>
    <t>S.PRIYAKALA</t>
  </si>
  <si>
    <t>NO:57A</t>
  </si>
  <si>
    <t>772361891/772659891</t>
  </si>
  <si>
    <t>662932558v</t>
  </si>
  <si>
    <t>G.KANTHAN</t>
  </si>
  <si>
    <t>NO:18/2</t>
  </si>
  <si>
    <t>777191771/512222000</t>
  </si>
  <si>
    <t>763541428V</t>
  </si>
  <si>
    <t>S.MANIKARAJ(GEM)</t>
  </si>
  <si>
    <t>NO:77C</t>
  </si>
  <si>
    <t>761243008/766779500</t>
  </si>
  <si>
    <t>761501119V</t>
  </si>
  <si>
    <t>U.KOMATHI</t>
  </si>
  <si>
    <t>856182096V</t>
  </si>
  <si>
    <t>SELVARATHNAM VINOTHAN</t>
  </si>
  <si>
    <t>M.P.THARANGA</t>
  </si>
  <si>
    <t>NO:51/39</t>
  </si>
  <si>
    <t>N.THIYAGACHANDRAN</t>
  </si>
  <si>
    <t>773580072/714210179</t>
  </si>
  <si>
    <t>680302952V</t>
  </si>
  <si>
    <t>C.THAMAYANTHY</t>
  </si>
  <si>
    <t>NO:36/15</t>
  </si>
  <si>
    <t>761542858/767542858</t>
  </si>
  <si>
    <t>805230541V</t>
  </si>
  <si>
    <t>M.GUNARATNAM</t>
  </si>
  <si>
    <t>NO:199/19A</t>
  </si>
  <si>
    <t>228794/679684</t>
  </si>
  <si>
    <t>636611697V</t>
  </si>
  <si>
    <t>S.GANESHARAJA</t>
  </si>
  <si>
    <t>710201048V</t>
  </si>
  <si>
    <t>A.MANO</t>
  </si>
  <si>
    <t>921851539V</t>
  </si>
  <si>
    <t>R.SARALA DEVI</t>
  </si>
  <si>
    <t>NO:38D</t>
  </si>
  <si>
    <t>M.S.M.IQBAL</t>
  </si>
  <si>
    <t>P.PRIYADHARSHINI</t>
  </si>
  <si>
    <t>NO:147/1</t>
  </si>
  <si>
    <t>773019080/719434802</t>
  </si>
  <si>
    <t>R.SATHYAPRIYA(ICE-CREAM)</t>
  </si>
  <si>
    <t>NO:235</t>
  </si>
  <si>
    <t>885253865V</t>
  </si>
  <si>
    <t>HATTON NURSING HOME(MOUNT HOSPITAL)</t>
  </si>
  <si>
    <t>512222445/777034215</t>
  </si>
  <si>
    <t>196330/353717/170509/317902</t>
  </si>
  <si>
    <t>SITHI SHIYANA</t>
  </si>
  <si>
    <t>778302330V</t>
  </si>
  <si>
    <t>AMBIGA STORES</t>
  </si>
  <si>
    <t>NO:140</t>
  </si>
  <si>
    <t>K.NARMATHA</t>
  </si>
  <si>
    <t>NO:176/27</t>
  </si>
  <si>
    <t>773304335V</t>
  </si>
  <si>
    <t>RIZNA(MRS.SHAMINA)</t>
  </si>
  <si>
    <t>769878377/772106864</t>
  </si>
  <si>
    <t>K.RAJASEGAR</t>
  </si>
  <si>
    <t>NO:60</t>
  </si>
  <si>
    <t>760092244/770549222</t>
  </si>
  <si>
    <t>611073410V</t>
  </si>
  <si>
    <t>ASKAR</t>
  </si>
  <si>
    <t>MOHAMAD HIJAS</t>
  </si>
  <si>
    <t>766964977/771415801</t>
  </si>
  <si>
    <t>980070980V</t>
  </si>
  <si>
    <t>M.MURALI</t>
  </si>
  <si>
    <t>NO:130/3</t>
  </si>
  <si>
    <t>690810786V</t>
  </si>
  <si>
    <t>P.KANDHAIYA</t>
  </si>
  <si>
    <t>NO:8/2</t>
  </si>
  <si>
    <t>886613296v</t>
  </si>
  <si>
    <t>K.F.ISMAIL</t>
  </si>
  <si>
    <t>556121931X</t>
  </si>
  <si>
    <t>A.IFAM(SF.RAMZIYA)</t>
  </si>
  <si>
    <t>KUMUTHA MANOHAR TEACHER</t>
  </si>
  <si>
    <t>726832935X</t>
  </si>
  <si>
    <t>RENGASAMY MAGENDRAN(ARALIYA)</t>
  </si>
  <si>
    <t>NO:40A</t>
  </si>
  <si>
    <t>720544121V</t>
  </si>
  <si>
    <t>M.RAJEEV PRAKASH</t>
  </si>
  <si>
    <t>742830872/777697917</t>
  </si>
  <si>
    <t>MRS.P.DELISHA</t>
  </si>
  <si>
    <t>NO:203/2</t>
  </si>
  <si>
    <t>756592319X</t>
  </si>
  <si>
    <t>NO:203/4</t>
  </si>
  <si>
    <t>NO:203/3</t>
  </si>
  <si>
    <t>793551703V</t>
  </si>
  <si>
    <t>S.MADHAVAN</t>
  </si>
  <si>
    <t>940291925V</t>
  </si>
  <si>
    <t>P.NADARAJAH</t>
  </si>
  <si>
    <t>NO:167/2,1ST LANE</t>
  </si>
  <si>
    <t>512222590/772838159</t>
  </si>
  <si>
    <t>ZHAKEER</t>
  </si>
  <si>
    <t>A.G.BADURDEEN</t>
  </si>
  <si>
    <t>778797978/762670720</t>
  </si>
  <si>
    <t>S.SUBANEETHAN(NEXT SHOP)</t>
  </si>
  <si>
    <t>850272638V</t>
  </si>
  <si>
    <t>P.PUSHPARANI</t>
  </si>
  <si>
    <t xml:space="preserve">M.BALA  </t>
  </si>
  <si>
    <t xml:space="preserve">NO:47/4 </t>
  </si>
  <si>
    <t>788173032V</t>
  </si>
  <si>
    <t>S.SIVABALASUNDARAM (AMBIKAS)</t>
  </si>
  <si>
    <t>712224297/772176275</t>
  </si>
  <si>
    <t>ABDUL LATHIF LIYAKANTH KHAN</t>
  </si>
  <si>
    <t>M.H.M.UWAIS</t>
  </si>
  <si>
    <t>NO:7,UPPER</t>
  </si>
  <si>
    <t>773848530/777517657</t>
  </si>
  <si>
    <t>620221953V</t>
  </si>
  <si>
    <t>K.KARUNANANDHAN</t>
  </si>
  <si>
    <t>NO:31,SF RD</t>
  </si>
  <si>
    <t>591131672V</t>
  </si>
  <si>
    <t>S.SARAVANAN(NORWOOD)</t>
  </si>
  <si>
    <t>NO:34/1</t>
  </si>
  <si>
    <t>771011640V</t>
  </si>
  <si>
    <t>H.THELEBAN</t>
  </si>
  <si>
    <t>903441593V</t>
  </si>
  <si>
    <t>MANJULA NALAWANSA</t>
  </si>
  <si>
    <t>NO:61/10</t>
  </si>
  <si>
    <t>698301104V</t>
  </si>
  <si>
    <t>T.SUMATHY</t>
  </si>
  <si>
    <t>818120346V</t>
  </si>
  <si>
    <t>S.THUSHANTHI</t>
  </si>
  <si>
    <t>NO:36/8,DISPENSARY RD</t>
  </si>
  <si>
    <t>R.MALARVILI</t>
  </si>
  <si>
    <t>NO:42B</t>
  </si>
  <si>
    <t>S.SRITHARAN(HAD SALES)</t>
  </si>
  <si>
    <t>NO:28/3</t>
  </si>
  <si>
    <t>774658270/512222207</t>
  </si>
  <si>
    <t>880430912V</t>
  </si>
  <si>
    <t>BABU SINGARAYAR</t>
  </si>
  <si>
    <t>NO:13/2A</t>
  </si>
  <si>
    <t>851881239V</t>
  </si>
  <si>
    <t>A.LAYANAL</t>
  </si>
  <si>
    <t>NO:87C</t>
  </si>
  <si>
    <t>718696439/763011565</t>
  </si>
  <si>
    <t>912721345V</t>
  </si>
  <si>
    <t>S.AUGASTIAN</t>
  </si>
  <si>
    <t>NO:112</t>
  </si>
  <si>
    <t>S.SURESH BABU(PATRA)</t>
  </si>
  <si>
    <t>NO:61/1B,SIDE STREET</t>
  </si>
  <si>
    <t>743443241V</t>
  </si>
  <si>
    <t>MALA ATHUKORALA</t>
  </si>
  <si>
    <t>JEDB</t>
  </si>
  <si>
    <t>625052637V</t>
  </si>
  <si>
    <t>DINE N REST</t>
  </si>
  <si>
    <t>NO:171/2/1</t>
  </si>
  <si>
    <t>775171153/512222524</t>
  </si>
  <si>
    <t>601402348v</t>
  </si>
  <si>
    <t>MAHAVALI (PRABA)</t>
  </si>
  <si>
    <t>NO:175/3</t>
  </si>
  <si>
    <t>777537266/512222997</t>
  </si>
  <si>
    <t xml:space="preserve">S.KAWSHIKA </t>
  </si>
  <si>
    <t>NO:243,DIMBULLA RD</t>
  </si>
  <si>
    <t>NO:90</t>
  </si>
  <si>
    <t>NO:227</t>
  </si>
  <si>
    <t>S.CHANDRAMOHAN</t>
  </si>
  <si>
    <t>766467107/762122835</t>
  </si>
  <si>
    <t>R.GOKULARAJ</t>
  </si>
  <si>
    <t>701236234/719197316</t>
  </si>
  <si>
    <t>S.CHANDRAKUMARI</t>
  </si>
  <si>
    <t>NO:32/62</t>
  </si>
  <si>
    <t>L.VELAYUDHAM</t>
  </si>
  <si>
    <t>G.ABRAHAM</t>
  </si>
  <si>
    <t>P.SATHIYANATHAN</t>
  </si>
  <si>
    <t>NO:108/11</t>
  </si>
  <si>
    <t>R.NANDHAKUMAR</t>
  </si>
  <si>
    <t>NO:295/1/1</t>
  </si>
  <si>
    <t>NO:93/A</t>
  </si>
  <si>
    <t>714333052/757512306</t>
  </si>
  <si>
    <t>V.SAROJINI</t>
  </si>
  <si>
    <t>P.KIRUBAHARAN</t>
  </si>
  <si>
    <t>NO:19/43/1</t>
  </si>
  <si>
    <t>MIDREPALA PARASE</t>
  </si>
  <si>
    <t>B.PRABAHARAN</t>
  </si>
  <si>
    <t>NO:48/31</t>
  </si>
  <si>
    <t>S.HARISH</t>
  </si>
  <si>
    <t>MC.MUBARAK</t>
  </si>
  <si>
    <t xml:space="preserve">  </t>
  </si>
  <si>
    <t>NO OF BOX</t>
  </si>
  <si>
    <t>S.IRFAN(STAR SOUND)</t>
  </si>
  <si>
    <t>765621201/778707642</t>
  </si>
  <si>
    <t>SUBOTHINI DHANUJAN[NODE]</t>
  </si>
  <si>
    <t>718556455/713180907</t>
  </si>
  <si>
    <t>ML.ALIL</t>
  </si>
  <si>
    <t>767688730/766563082</t>
  </si>
  <si>
    <t>HATTON PRINTERS</t>
  </si>
  <si>
    <t>S.KARTHISVARAN</t>
  </si>
  <si>
    <t>C.SIVARAJA MAYURAN</t>
  </si>
  <si>
    <t>NO:29/2</t>
  </si>
  <si>
    <t>773225752/777440128</t>
  </si>
  <si>
    <t>NO:32/17</t>
  </si>
  <si>
    <t>FAIZAL AHAMAD</t>
  </si>
  <si>
    <t>SIDE STREET</t>
  </si>
  <si>
    <t>772998943/719990099</t>
  </si>
  <si>
    <t xml:space="preserve">NO:29/4 </t>
  </si>
  <si>
    <t>NO:215B/3</t>
  </si>
  <si>
    <r>
      <rPr>
        <sz val="11"/>
        <color rgb="FFFF0000"/>
        <rFont val="Calibri"/>
        <family val="2"/>
        <scheme val="minor"/>
      </rPr>
      <t>582879</t>
    </r>
    <r>
      <rPr>
        <sz val="11"/>
        <color theme="1"/>
        <rFont val="Calibri"/>
        <family val="2"/>
        <scheme val="minor"/>
      </rPr>
      <t>/150238</t>
    </r>
  </si>
  <si>
    <t>716584451/777838118</t>
  </si>
  <si>
    <t>MOHAMAD ALI[NODE]</t>
  </si>
  <si>
    <t>767142533/712540491</t>
  </si>
  <si>
    <t>M.BAJAMIYA</t>
  </si>
  <si>
    <t>S.KESAVAMOORTHI</t>
  </si>
  <si>
    <t>706694529/724847736</t>
  </si>
  <si>
    <t>A.THANGARAJ</t>
  </si>
  <si>
    <t>712254509/512222119</t>
  </si>
  <si>
    <t>737602605V</t>
  </si>
  <si>
    <t>P.RAJESHVARI</t>
  </si>
  <si>
    <r>
      <rPr>
        <b/>
        <sz val="11"/>
        <color rgb="FFFF0000"/>
        <rFont val="Calibri"/>
        <family val="2"/>
        <scheme val="minor"/>
      </rPr>
      <t>019730</t>
    </r>
    <r>
      <rPr>
        <sz val="11"/>
        <color theme="1"/>
        <rFont val="Calibri"/>
        <family val="2"/>
        <scheme val="minor"/>
      </rPr>
      <t>/144421</t>
    </r>
  </si>
  <si>
    <t>V.KALIMUTHU</t>
  </si>
  <si>
    <t>NO:8/1E</t>
  </si>
  <si>
    <t>APPROCH ROAD FRUTILL</t>
  </si>
  <si>
    <t>410151677V</t>
  </si>
  <si>
    <t xml:space="preserve">      NAME</t>
  </si>
  <si>
    <t xml:space="preserve">   TP</t>
  </si>
  <si>
    <t>ESTATE</t>
  </si>
  <si>
    <t>VIGNESH (NODE)</t>
  </si>
  <si>
    <t>765737397/754631194</t>
  </si>
  <si>
    <t>50 ACER</t>
  </si>
  <si>
    <t>R.SIVAKUMAR</t>
  </si>
  <si>
    <t>441943130X</t>
  </si>
  <si>
    <t>S.VIGNESWARAN(PRIYA)</t>
  </si>
  <si>
    <t>768495577/760351414/751619026</t>
  </si>
  <si>
    <t>M.THAYALAN</t>
  </si>
  <si>
    <t>S.MOORTHY</t>
  </si>
  <si>
    <t>V.CHANDRAKUMAR</t>
  </si>
  <si>
    <t>764010656/761742113</t>
  </si>
  <si>
    <t>KANAGARAJ</t>
  </si>
  <si>
    <t xml:space="preserve">   </t>
  </si>
  <si>
    <t>S.MUNIYANDY</t>
  </si>
  <si>
    <t>788066197V</t>
  </si>
  <si>
    <t>B.BALA</t>
  </si>
  <si>
    <t>S.RAMESH</t>
  </si>
  <si>
    <t>R.PRASHANTH</t>
  </si>
  <si>
    <t>772590415/779749476</t>
  </si>
  <si>
    <t>S.SATHEES</t>
  </si>
  <si>
    <t>S.PRADEEP</t>
  </si>
  <si>
    <t>S.MANSUBIKHAN</t>
  </si>
  <si>
    <t>756847694/774997880</t>
  </si>
  <si>
    <t>860252953V</t>
  </si>
  <si>
    <t>M.NAGULESHVARAN</t>
  </si>
  <si>
    <t>A.GANESHARATNAM</t>
  </si>
  <si>
    <t>ABBOTSLIGH</t>
  </si>
  <si>
    <t>KALIYAPPAN DEVI</t>
  </si>
  <si>
    <t>DIPA MOHANRAJ</t>
  </si>
  <si>
    <t>774630388/767476854</t>
  </si>
  <si>
    <t>971920602V</t>
  </si>
  <si>
    <t>MAHESHWARAN SATHYA SEELAN</t>
  </si>
  <si>
    <t>764598820/515688307</t>
  </si>
  <si>
    <t>941022715V</t>
  </si>
  <si>
    <t>RATNAVEL GOBINATH</t>
  </si>
  <si>
    <t>V.MUNUSAMY KANDHAIYA</t>
  </si>
  <si>
    <t>670932796X</t>
  </si>
  <si>
    <t>SILAMBARAM PRABAGARAN</t>
  </si>
  <si>
    <t>SATHYA KUMAR KUTTY</t>
  </si>
  <si>
    <t>952563270V</t>
  </si>
  <si>
    <t>PARTHEEBAN (VELU PILLAI)</t>
  </si>
  <si>
    <t>715758207/778256238</t>
  </si>
  <si>
    <t>923203397V</t>
  </si>
  <si>
    <t>B.SELVAKUMAR</t>
  </si>
  <si>
    <t>948420767V</t>
  </si>
  <si>
    <t>VELUPILLAI THILAKES</t>
  </si>
  <si>
    <t>715758207/765753457</t>
  </si>
  <si>
    <t>S.KANAGALINGAM</t>
  </si>
  <si>
    <t>903463716V</t>
  </si>
  <si>
    <t>V.JEGANADHAN</t>
  </si>
  <si>
    <t>MALARCHELVI</t>
  </si>
  <si>
    <t>RAMAIYA</t>
  </si>
  <si>
    <t>SATHEES</t>
  </si>
  <si>
    <t>KALIYAMMA(RUMESH)</t>
  </si>
  <si>
    <t>118078/286412</t>
  </si>
  <si>
    <t>RAMAKRISHNAN (NODE)</t>
  </si>
  <si>
    <t>LINGESHWARAN</t>
  </si>
  <si>
    <t>670064131V</t>
  </si>
  <si>
    <t>VELU THIRUCHELVAM(MALINI)</t>
  </si>
  <si>
    <t>703078895/770559967</t>
  </si>
  <si>
    <t>JEGANADHAN SELLAM</t>
  </si>
  <si>
    <t>P.DHANASEELAN</t>
  </si>
  <si>
    <t>SANGEETHAN</t>
  </si>
  <si>
    <t>981972945V</t>
  </si>
  <si>
    <t>RAKKAMA SARAMESWARI</t>
  </si>
  <si>
    <t>RAJI PUTHA RAVI</t>
  </si>
  <si>
    <t>932274124V</t>
  </si>
  <si>
    <t>A.JEYARAJ</t>
  </si>
  <si>
    <t>THAMARAI CHELVI(SINNA)</t>
  </si>
  <si>
    <t>762596756/713650721/703984732</t>
  </si>
  <si>
    <t>721683923V</t>
  </si>
  <si>
    <t>PREMKUMAR DHEVI</t>
  </si>
  <si>
    <t>P.MAGENDRAN</t>
  </si>
  <si>
    <t>SIVABALAN MENAGA</t>
  </si>
  <si>
    <t>NADARAJ</t>
  </si>
  <si>
    <t>945724196V</t>
  </si>
  <si>
    <t>SUMATHY BALA</t>
  </si>
  <si>
    <t>636522198V</t>
  </si>
  <si>
    <t>ABBOTSLIGH KADA(MANO TRADING)</t>
  </si>
  <si>
    <t>KARIVANDAN INDRA</t>
  </si>
  <si>
    <t>577833915V</t>
  </si>
  <si>
    <t>RAJA SASI</t>
  </si>
  <si>
    <t>PATTI KANNA</t>
  </si>
  <si>
    <t>860111497V</t>
  </si>
  <si>
    <t>D.ROSHAN(STORE KEEPER)</t>
  </si>
  <si>
    <t>732764224V</t>
  </si>
  <si>
    <t>SELVAM MARIYAI</t>
  </si>
  <si>
    <t>676263837V</t>
  </si>
  <si>
    <t>YOGA SUNDARAM</t>
  </si>
  <si>
    <t>690784726X</t>
  </si>
  <si>
    <t>SANTHAN(MAMA)</t>
  </si>
  <si>
    <t>JEYA SHANKAR(DOCTOR)</t>
  </si>
  <si>
    <t>662443158X</t>
  </si>
  <si>
    <t>J.SKANTHA</t>
  </si>
  <si>
    <t>791002001V</t>
  </si>
  <si>
    <t>N.SIVARAJ</t>
  </si>
  <si>
    <t>720374684V</t>
  </si>
  <si>
    <t>CHANDRA MOHAN</t>
  </si>
  <si>
    <t>773667471/774511170</t>
  </si>
  <si>
    <t>832322172V</t>
  </si>
  <si>
    <t>JEYA KRISHNA</t>
  </si>
  <si>
    <t>775133424/778384145</t>
  </si>
  <si>
    <t>SELVARAJ YASORAJ</t>
  </si>
  <si>
    <t>767001840/704584120</t>
  </si>
  <si>
    <t>M.MUTHUKRISHNAN</t>
  </si>
  <si>
    <t>573572386V</t>
  </si>
  <si>
    <t>BRODUC</t>
  </si>
  <si>
    <t>ANNATHANGAM</t>
  </si>
  <si>
    <t>PANEER SELVAM</t>
  </si>
  <si>
    <t>M.ASIRVATHAM</t>
  </si>
  <si>
    <t>775007228/515683251</t>
  </si>
  <si>
    <t>P.DHARMALINGAM</t>
  </si>
  <si>
    <t>780362456V</t>
  </si>
  <si>
    <t>SIVAKUMAR(BADA)</t>
  </si>
  <si>
    <t>773471967X</t>
  </si>
  <si>
    <t>S.DHARMASEELAN</t>
  </si>
  <si>
    <t>770379366/710972902</t>
  </si>
  <si>
    <t>860443104V</t>
  </si>
  <si>
    <t>MOHAN SUMENDRAN</t>
  </si>
  <si>
    <t>775127327/752526310</t>
  </si>
  <si>
    <t>750914047V</t>
  </si>
  <si>
    <t>K.PATHMANATHAN</t>
  </si>
  <si>
    <t>B.PATHMANATHAN THIRUCHELVI</t>
  </si>
  <si>
    <t>780361760V</t>
  </si>
  <si>
    <t>UMA MAHESHWARAN</t>
  </si>
  <si>
    <t>RAMASAMY RAVI</t>
  </si>
  <si>
    <t>776015913/779317902</t>
  </si>
  <si>
    <t>972773778v</t>
  </si>
  <si>
    <t>ARUMUGAM PARAMESWARI</t>
  </si>
  <si>
    <t>533642063v</t>
  </si>
  <si>
    <t>YOGESHWARAN</t>
  </si>
  <si>
    <t>764990922/755439737</t>
  </si>
  <si>
    <t>V.SATHYANESHAN</t>
  </si>
  <si>
    <t>763342685/774429051</t>
  </si>
  <si>
    <t>S.GOBINATH</t>
  </si>
  <si>
    <t>771047581/767938082</t>
  </si>
  <si>
    <t>752772126X</t>
  </si>
  <si>
    <t>CHAMINDA SAMPATH KUMAR</t>
  </si>
  <si>
    <t>M.GHANA PRAKASAM</t>
  </si>
  <si>
    <t>G.PHILIPS</t>
  </si>
  <si>
    <t>773948772/769783866</t>
  </si>
  <si>
    <t>980593576v</t>
  </si>
  <si>
    <t>P.PARAMASIVAM (NODE)</t>
  </si>
  <si>
    <t>SHANMUGAM DRIVER</t>
  </si>
  <si>
    <t>P.KANIKKAIRAJ</t>
  </si>
  <si>
    <t>591903411V</t>
  </si>
  <si>
    <t>RAJA VAN</t>
  </si>
  <si>
    <t>MAHENDRAN (NIROSHINI)</t>
  </si>
  <si>
    <t>R.RAVIKUMAR</t>
  </si>
  <si>
    <t>769891269/742859228</t>
  </si>
  <si>
    <t>952434071X</t>
  </si>
  <si>
    <t>COMMERCIAL</t>
  </si>
  <si>
    <t>M.DEVI</t>
  </si>
  <si>
    <t>V.JEYANATHAN</t>
  </si>
  <si>
    <t>411222101V</t>
  </si>
  <si>
    <t>ARUMUGAM NEETHI</t>
  </si>
  <si>
    <t>591833227V</t>
  </si>
  <si>
    <t>V.SUTHESHKUMAR</t>
  </si>
  <si>
    <t>683052280V</t>
  </si>
  <si>
    <t>V.ULAGESHVARAN</t>
  </si>
  <si>
    <t>750221424V</t>
  </si>
  <si>
    <t>PARAMESVARI SIVAGURU</t>
  </si>
  <si>
    <t>P.KANAGARATNAM</t>
  </si>
  <si>
    <t>543560693V</t>
  </si>
  <si>
    <t>RAMACHANDRAN VADIVUKARASI</t>
  </si>
  <si>
    <t>868500816V</t>
  </si>
  <si>
    <t>SRIMATHI VIJITHA ARUL</t>
  </si>
  <si>
    <t>491272988V</t>
  </si>
  <si>
    <t>HILL COOL</t>
  </si>
  <si>
    <t>DUN L/D</t>
  </si>
  <si>
    <t>S.MAGESH KALIYAMMA</t>
  </si>
  <si>
    <t>771797685/717211935</t>
  </si>
  <si>
    <t>953100150V</t>
  </si>
  <si>
    <t>R.MANOGARAN</t>
  </si>
  <si>
    <t>A.SIVAKUMAR(VASANTHA)</t>
  </si>
  <si>
    <t>788204078X</t>
  </si>
  <si>
    <t>RAVIKUMAR</t>
  </si>
  <si>
    <t>832142883V</t>
  </si>
  <si>
    <t>ARUMUGAM</t>
  </si>
  <si>
    <t>PUWAN</t>
  </si>
  <si>
    <t>AMARA JOTHY</t>
  </si>
  <si>
    <t>515684529/762063116</t>
  </si>
  <si>
    <t>615373370V</t>
  </si>
  <si>
    <t>T.NIKALOS</t>
  </si>
  <si>
    <t>690141663V</t>
  </si>
  <si>
    <t>S.MATHIYALAGAN</t>
  </si>
  <si>
    <t>861641089V</t>
  </si>
  <si>
    <t>TAMIL CHELVAN</t>
  </si>
  <si>
    <t>896323067V</t>
  </si>
  <si>
    <t>R.RAMAR</t>
  </si>
  <si>
    <t>S.SUBRAMANIAM</t>
  </si>
  <si>
    <t>MICHEAL</t>
  </si>
  <si>
    <t>918664947V</t>
  </si>
  <si>
    <t>R.KAVITHA(AMP)</t>
  </si>
  <si>
    <t>836383087V</t>
  </si>
  <si>
    <r>
      <t>244163/</t>
    </r>
    <r>
      <rPr>
        <b/>
        <sz val="11"/>
        <color rgb="FFC00000"/>
        <rFont val="Calibri"/>
        <family val="2"/>
        <scheme val="minor"/>
      </rPr>
      <t>088743</t>
    </r>
  </si>
  <si>
    <t>703483410V</t>
  </si>
  <si>
    <t>ANURA</t>
  </si>
  <si>
    <t>512225413/719457706</t>
  </si>
  <si>
    <t>SIRI RAJA YOGA MANJULA</t>
  </si>
  <si>
    <t>728928597/724606560</t>
  </si>
  <si>
    <t>880404121V</t>
  </si>
  <si>
    <t>D.PANEER SELVAM</t>
  </si>
  <si>
    <t>652162487X</t>
  </si>
  <si>
    <t>M.RAMASAMI</t>
  </si>
  <si>
    <t>UDAYA KUMAR(AMP)</t>
  </si>
  <si>
    <t>M.PRABAKARAN</t>
  </si>
  <si>
    <t>711793860V</t>
  </si>
  <si>
    <t>P.BALA(CHICKEN)</t>
  </si>
  <si>
    <t>781473049V</t>
  </si>
  <si>
    <t>RAJA KULANTHAI (NODE)</t>
  </si>
  <si>
    <t>DUN U/D</t>
  </si>
  <si>
    <t>BALA (SAMIYAR)</t>
  </si>
  <si>
    <t>750122957X</t>
  </si>
  <si>
    <t>ANBALAGAN</t>
  </si>
  <si>
    <t>812984845V</t>
  </si>
  <si>
    <t>772960972V</t>
  </si>
  <si>
    <t>M.SUGUMAR</t>
  </si>
  <si>
    <t>763880615/772838842</t>
  </si>
  <si>
    <t>916323743V</t>
  </si>
  <si>
    <t>DHEVA</t>
  </si>
  <si>
    <t>715813325/741026393</t>
  </si>
  <si>
    <t>805624574V</t>
  </si>
  <si>
    <t>PUSPA</t>
  </si>
  <si>
    <t>778604531V</t>
  </si>
  <si>
    <t>THIRUPATHI</t>
  </si>
  <si>
    <t>762171929V</t>
  </si>
  <si>
    <t xml:space="preserve">KANAPATHI KANNA </t>
  </si>
  <si>
    <t>851253017V</t>
  </si>
  <si>
    <t>R.RAGUNATHAN</t>
  </si>
  <si>
    <t>601314975X</t>
  </si>
  <si>
    <t>I.THAMILARASI</t>
  </si>
  <si>
    <t>915761089V</t>
  </si>
  <si>
    <t>THULASI</t>
  </si>
  <si>
    <t>700584119V</t>
  </si>
  <si>
    <t>PULENDRAN</t>
  </si>
  <si>
    <t>GOVINDAMMA</t>
  </si>
  <si>
    <t>747464049V</t>
  </si>
  <si>
    <t>R.MURALI</t>
  </si>
  <si>
    <t>699200484V</t>
  </si>
  <si>
    <t>P.SRITHARAN</t>
  </si>
  <si>
    <t>922840121V</t>
  </si>
  <si>
    <t>R.MOORTHI</t>
  </si>
  <si>
    <t>721013707X</t>
  </si>
  <si>
    <t>R.RAVINDHRAN</t>
  </si>
  <si>
    <t>KITNA SAMI</t>
  </si>
  <si>
    <t>673462553X</t>
  </si>
  <si>
    <t>SUBRAMANIYAM MATHIYALAGAN</t>
  </si>
  <si>
    <t>730224304V</t>
  </si>
  <si>
    <t>LUXMAN(COOK)</t>
  </si>
  <si>
    <t>503494574V</t>
  </si>
  <si>
    <t>KALIYAMMA RAMAR</t>
  </si>
  <si>
    <t>769768372/776605218</t>
  </si>
  <si>
    <t>KRISHNA SAMI</t>
  </si>
  <si>
    <t>6527325992X</t>
  </si>
  <si>
    <t>830382399V</t>
  </si>
  <si>
    <t>S.ROSHANA SUGANTHI</t>
  </si>
  <si>
    <t>817855091V</t>
  </si>
  <si>
    <t>P.NAVANEETHAN</t>
  </si>
  <si>
    <t>841720032V</t>
  </si>
  <si>
    <t>V.MOOKAIYA</t>
  </si>
  <si>
    <t>960703677V</t>
  </si>
  <si>
    <t>DAVID</t>
  </si>
  <si>
    <t>690881110X</t>
  </si>
  <si>
    <t>NAVARATNAM (NAVA)</t>
  </si>
  <si>
    <t>779706216/712423995</t>
  </si>
  <si>
    <t>722553594V</t>
  </si>
  <si>
    <t>AMIRTHALINGAM</t>
  </si>
  <si>
    <t>772462310X</t>
  </si>
  <si>
    <t>GUNASINGAM</t>
  </si>
  <si>
    <t>523422359x</t>
  </si>
  <si>
    <t>SEBASTIAN VICTOR(amp)</t>
  </si>
  <si>
    <t>NADARAJ (YOGA)</t>
  </si>
  <si>
    <t>621912380X</t>
  </si>
  <si>
    <t>R.VIJAYARAJ</t>
  </si>
  <si>
    <t>591973525X</t>
  </si>
  <si>
    <t>ARUMUGAM (SAMIYAR)</t>
  </si>
  <si>
    <t>948524767v</t>
  </si>
  <si>
    <t>KUMAR PRADAP(STANLEY)</t>
  </si>
  <si>
    <t>M.AMMASI</t>
  </si>
  <si>
    <t>540744394X</t>
  </si>
  <si>
    <t>M.LAKSMAN</t>
  </si>
  <si>
    <t>640723394V</t>
  </si>
  <si>
    <t>S.SASITHARAN(KALA)</t>
  </si>
  <si>
    <t>731442088X</t>
  </si>
  <si>
    <t>MANI BASS(NODE)</t>
  </si>
  <si>
    <t>701702905V</t>
  </si>
  <si>
    <t>KANAPATHI CHANDRAN</t>
  </si>
  <si>
    <t>790072685X</t>
  </si>
  <si>
    <t>R.SHANTHI MALAR</t>
  </si>
  <si>
    <t>926043765V</t>
  </si>
  <si>
    <t>T.CHANDRASEGARAN</t>
  </si>
  <si>
    <t>729211996/761386238</t>
  </si>
  <si>
    <t>782573195x</t>
  </si>
  <si>
    <t>T.GHANASEGAR</t>
  </si>
  <si>
    <t>737681564V</t>
  </si>
  <si>
    <t>R.VIJAYARATNAM(LANKA PHARMACY)</t>
  </si>
  <si>
    <t>840972690V</t>
  </si>
  <si>
    <t>KATHIRESHAN BASKAR</t>
  </si>
  <si>
    <t>641033200V</t>
  </si>
  <si>
    <t>863022622V</t>
  </si>
  <si>
    <t>V.PUNNIYAMOORTHI</t>
  </si>
  <si>
    <t>771982870/775112804</t>
  </si>
  <si>
    <t>840722627V</t>
  </si>
  <si>
    <t>SOKKAR</t>
  </si>
  <si>
    <t>651813492X</t>
  </si>
  <si>
    <t>K.KUSALAKUMAR</t>
  </si>
  <si>
    <t>772511812/761275008</t>
  </si>
  <si>
    <t>900655371V</t>
  </si>
  <si>
    <t>M.VIMALANATHAN</t>
  </si>
  <si>
    <t>726452038/719504672</t>
  </si>
  <si>
    <t>GOWRI THILAKA</t>
  </si>
  <si>
    <t>868021896V</t>
  </si>
  <si>
    <t>KALEESHVARAN</t>
  </si>
  <si>
    <t>KRISHNAKUMAR MANAMAGAL</t>
  </si>
  <si>
    <t>843540295V</t>
  </si>
  <si>
    <t>M.RAVI SIVARAMAKRISHNAN</t>
  </si>
  <si>
    <t>RAMAJEYAM JEYANTHAN(SUJEE)</t>
  </si>
  <si>
    <t>757003821V</t>
  </si>
  <si>
    <t>K.PUSPARAJ</t>
  </si>
  <si>
    <t>T.PRATHEEBAN</t>
  </si>
  <si>
    <t>DUNBAR SKEAM</t>
  </si>
  <si>
    <t>PRASHATH SARAVANAS</t>
  </si>
  <si>
    <t>ASHOK KUMAR</t>
  </si>
  <si>
    <t>KUMARAVEL</t>
  </si>
  <si>
    <t>SANJEEVAN</t>
  </si>
  <si>
    <t>M.RAMAKRISHNAN</t>
  </si>
  <si>
    <t>YOGARAJ SRIVANI</t>
  </si>
  <si>
    <t>718286779/752225397</t>
  </si>
  <si>
    <t>MANOGAR (NODE)</t>
  </si>
  <si>
    <t>FLORENCE</t>
  </si>
  <si>
    <t>DHARMALINGAM</t>
  </si>
  <si>
    <t>572814220V</t>
  </si>
  <si>
    <t>K.VASANTHA KUMARI</t>
  </si>
  <si>
    <t>887043108V</t>
  </si>
  <si>
    <t>M.NALLA SELVAM</t>
  </si>
  <si>
    <t>775865829/779465891</t>
  </si>
  <si>
    <t>802475632v</t>
  </si>
  <si>
    <t>SURESH KUMAR.M</t>
  </si>
  <si>
    <t>D.PRABAKARAN</t>
  </si>
  <si>
    <t>861403939v</t>
  </si>
  <si>
    <t>R.MOHANRAJ</t>
  </si>
  <si>
    <t>KAMAL WHEEL</t>
  </si>
  <si>
    <t>R.RADHAKRISHNAN</t>
  </si>
  <si>
    <t>828633899V</t>
  </si>
  <si>
    <t>S.KRISHNAN</t>
  </si>
  <si>
    <t>666923979X</t>
  </si>
  <si>
    <t>PUSPARAJ</t>
  </si>
  <si>
    <t>761848066V</t>
  </si>
  <si>
    <t>K.VIBUSANAN VINOTHINI</t>
  </si>
  <si>
    <t>IRULANDY PUSHPARANI</t>
  </si>
  <si>
    <t>746013531X</t>
  </si>
  <si>
    <t>S.RAVIKUMAR</t>
  </si>
  <si>
    <t>781924660V</t>
  </si>
  <si>
    <t>L. KALAIVANI</t>
  </si>
  <si>
    <t>P.MAYILVAGANAM</t>
  </si>
  <si>
    <t>778388270/770763201</t>
  </si>
  <si>
    <t>742043827V</t>
  </si>
  <si>
    <t>B.THIYAGARAJ</t>
  </si>
  <si>
    <t>921472773V</t>
  </si>
  <si>
    <t>K.MURUGAIYA</t>
  </si>
  <si>
    <t>P.PERIYASAMI</t>
  </si>
  <si>
    <t>SUNDRALINGAM</t>
  </si>
  <si>
    <t>KOVIL SAMY</t>
  </si>
  <si>
    <t>850394172V</t>
  </si>
  <si>
    <t>T.LOGANATHAN</t>
  </si>
  <si>
    <t>SEVAGAN (NODE)</t>
  </si>
  <si>
    <t>KRISHANTHAN</t>
  </si>
  <si>
    <t>V.GUNARATNAM(SELVAM)</t>
  </si>
  <si>
    <t>572512266V</t>
  </si>
  <si>
    <t>HATTON ES</t>
  </si>
  <si>
    <t>M.SIVAKUMAR</t>
  </si>
  <si>
    <t>K.SANGUPILLAI</t>
  </si>
  <si>
    <t>775338122/741410114</t>
  </si>
  <si>
    <t>M.SIVAGHANAM</t>
  </si>
  <si>
    <t>911532395v</t>
  </si>
  <si>
    <t>S.NAVEENDHRAN</t>
  </si>
  <si>
    <t>K.SUNDHARESHAN</t>
  </si>
  <si>
    <t>BALA</t>
  </si>
  <si>
    <t>R.ANTHONY</t>
  </si>
  <si>
    <t>745411673X</t>
  </si>
  <si>
    <t>M.SELVI</t>
  </si>
  <si>
    <t>748463466V</t>
  </si>
  <si>
    <t>RAVI(NODE)</t>
  </si>
  <si>
    <t>A.ANTHONY RAJ</t>
  </si>
  <si>
    <t>THAVAMANI</t>
  </si>
  <si>
    <t>937974817V</t>
  </si>
  <si>
    <t>S.NIRANJAN</t>
  </si>
  <si>
    <t>S.REETHA</t>
  </si>
  <si>
    <t>746868737/766850877</t>
  </si>
  <si>
    <t>PATHMAKEERTHI</t>
  </si>
  <si>
    <t>770260322/722527250</t>
  </si>
  <si>
    <t>SM.SINNAIYA</t>
  </si>
  <si>
    <t>701144813V</t>
  </si>
  <si>
    <t>DENIYAL</t>
  </si>
  <si>
    <t>571933004V</t>
  </si>
  <si>
    <t>775597251/762565930</t>
  </si>
  <si>
    <t>756051024X</t>
  </si>
  <si>
    <t>KRISHNAN(WP PUNCHI KUMARI)</t>
  </si>
  <si>
    <t>971693640V</t>
  </si>
  <si>
    <t>V.SUBASHINI</t>
  </si>
  <si>
    <t>898543676V</t>
  </si>
  <si>
    <t>S.LAKSHMI</t>
  </si>
  <si>
    <t>686114937V</t>
  </si>
  <si>
    <t>V.SIVAGHANAM</t>
  </si>
  <si>
    <t>640214368X</t>
  </si>
  <si>
    <t>S.YOGALETCHUMI</t>
  </si>
  <si>
    <t>765673020X</t>
  </si>
  <si>
    <t>W.P.JAYANTHA PREMLAL</t>
  </si>
  <si>
    <t>771182941V</t>
  </si>
  <si>
    <t>A.SILVASTAR</t>
  </si>
  <si>
    <t>822173691V</t>
  </si>
  <si>
    <t>M.SIVARAJ</t>
  </si>
  <si>
    <t>872674101V</t>
  </si>
  <si>
    <t>VASUDHEVAN</t>
  </si>
  <si>
    <t>T.DEVAMALAR</t>
  </si>
  <si>
    <t>923544330V</t>
  </si>
  <si>
    <t>R.SABITHRA</t>
  </si>
  <si>
    <t>M.SUTHA</t>
  </si>
  <si>
    <t>507902464V</t>
  </si>
  <si>
    <t>S.J.SUSANTHA</t>
  </si>
  <si>
    <t>812087169V</t>
  </si>
  <si>
    <t>S.SILVESTAR</t>
  </si>
  <si>
    <t>K.GURUNATHAN</t>
  </si>
  <si>
    <t>640413549V</t>
  </si>
  <si>
    <t>V.MOHANRAJ</t>
  </si>
  <si>
    <t xml:space="preserve">S.NIRMALA </t>
  </si>
  <si>
    <t>S.YALINI</t>
  </si>
  <si>
    <t>887361312V</t>
  </si>
  <si>
    <t>S.SASIGARAN (UC)</t>
  </si>
  <si>
    <t>901962260v</t>
  </si>
  <si>
    <t>E.JEYASAMBA (RASAK)</t>
  </si>
  <si>
    <t>823014937V</t>
  </si>
  <si>
    <t>M.JOSAPH MOHAN</t>
  </si>
  <si>
    <t>775693924/757385713</t>
  </si>
  <si>
    <t>711954945V</t>
  </si>
  <si>
    <t>L.LAVANYA</t>
  </si>
  <si>
    <t>762012043/714921940</t>
  </si>
  <si>
    <t>943492077V</t>
  </si>
  <si>
    <t>714698303/760725685</t>
  </si>
  <si>
    <t>821184991V</t>
  </si>
  <si>
    <t>V.KALAIVANI</t>
  </si>
  <si>
    <t>938521387V</t>
  </si>
  <si>
    <t>T.SELVAKUMARI</t>
  </si>
  <si>
    <t>807150855V</t>
  </si>
  <si>
    <t>K.KANMANI</t>
  </si>
  <si>
    <t>938153370v</t>
  </si>
  <si>
    <t>G.NISANGA</t>
  </si>
  <si>
    <t>660644180V</t>
  </si>
  <si>
    <t>G.THILAKAVATHI</t>
  </si>
  <si>
    <t>816385040V</t>
  </si>
  <si>
    <t>SELVARAJ BAKERY ANNE(NODE)</t>
  </si>
  <si>
    <t>681894039V</t>
  </si>
  <si>
    <t>A.SELVI (VILOT)</t>
  </si>
  <si>
    <t>760612141/712051349</t>
  </si>
  <si>
    <t>937553323V</t>
  </si>
  <si>
    <t>S.ILAYARAJA</t>
  </si>
  <si>
    <t>773844190/778187930</t>
  </si>
  <si>
    <t>V.L.KULARATHNA</t>
  </si>
  <si>
    <t>K.PUNITHA</t>
  </si>
  <si>
    <t>774953991/750378116</t>
  </si>
  <si>
    <t>757403781V</t>
  </si>
  <si>
    <t>N.RAJENDRAN</t>
  </si>
  <si>
    <t>NO:70/5, TUNNEL RD</t>
  </si>
  <si>
    <t>610692222V</t>
  </si>
  <si>
    <t>M.MURUGANANTHAN</t>
  </si>
  <si>
    <t>J.KAMALADHEVI</t>
  </si>
  <si>
    <t>687881680X</t>
  </si>
  <si>
    <t>M.SIVA</t>
  </si>
  <si>
    <t>778876883/768429496</t>
  </si>
  <si>
    <t>NO:14,TUNNEL RD</t>
  </si>
  <si>
    <t>SINNAVAN (NODE)</t>
  </si>
  <si>
    <t>MALBROUGH</t>
  </si>
  <si>
    <t>PUSHPARAJ</t>
  </si>
  <si>
    <t>S.MOHAN DASS</t>
  </si>
  <si>
    <t>891903154V</t>
  </si>
  <si>
    <t>RAMA KILI</t>
  </si>
  <si>
    <t>VIJAYAKUMAR (WATTAKA)</t>
  </si>
  <si>
    <t>832222585V</t>
  </si>
  <si>
    <t>P.SHANMUGA SUNDARAM</t>
  </si>
  <si>
    <t>802575033V</t>
  </si>
  <si>
    <t>VIJAYAKUMAR(RIYAS)</t>
  </si>
  <si>
    <t>N.KANAGARAJ</t>
  </si>
  <si>
    <t>830330208X</t>
  </si>
  <si>
    <t>RAJAGOPAL (AMP)</t>
  </si>
  <si>
    <t>566473925V</t>
  </si>
  <si>
    <t>GOVINDHASAMI</t>
  </si>
  <si>
    <t>943134332v</t>
  </si>
  <si>
    <t>N.GANESHAN</t>
  </si>
  <si>
    <t>651653274X</t>
  </si>
  <si>
    <t>R.POOBALA SINGAM</t>
  </si>
  <si>
    <t>910070924V</t>
  </si>
  <si>
    <t>R.RENGANATHAN</t>
  </si>
  <si>
    <t>778398283/769895760</t>
  </si>
  <si>
    <t>501315575X</t>
  </si>
  <si>
    <t>BALA THILAKAS</t>
  </si>
  <si>
    <t>818592590V</t>
  </si>
  <si>
    <t>SELVARAJ JEGAN</t>
  </si>
  <si>
    <t>832194182V</t>
  </si>
  <si>
    <t>PRAKAS MALAR</t>
  </si>
  <si>
    <t>A.KALAIMAGAL</t>
  </si>
  <si>
    <t>648164343V</t>
  </si>
  <si>
    <t>RAMASAMY NAVANEETHAN</t>
  </si>
  <si>
    <t>755109061/719745977</t>
  </si>
  <si>
    <t>981072707V</t>
  </si>
  <si>
    <t>SHANMUGAM SAKTHI THIRES</t>
  </si>
  <si>
    <t>971990210v</t>
  </si>
  <si>
    <t>753301631V</t>
  </si>
  <si>
    <t>RAJAGOBAL RAMAKRISHNAN</t>
  </si>
  <si>
    <t>SUNBRAMANIYAM MUNUSAMY(ABBAS)</t>
  </si>
  <si>
    <t>RANJITHA KUMAR</t>
  </si>
  <si>
    <t>765723960/741807510</t>
  </si>
  <si>
    <t>781023523V</t>
  </si>
  <si>
    <t>R.NAVARATHNAM</t>
  </si>
  <si>
    <t>VIJAYAKUMAR SIR</t>
  </si>
  <si>
    <t>N.SASI KUMAR</t>
  </si>
  <si>
    <t>722848999/761886023</t>
  </si>
  <si>
    <t>762343517X</t>
  </si>
  <si>
    <t>513113668V</t>
  </si>
  <si>
    <t>POOBAL(NODE)</t>
  </si>
  <si>
    <t>PRAKAS GANESH</t>
  </si>
  <si>
    <t>881483157V</t>
  </si>
  <si>
    <t>K.SUBRAMANI(NODE)</t>
  </si>
  <si>
    <t>768444459/768336752</t>
  </si>
  <si>
    <t>NIRANJAN</t>
  </si>
  <si>
    <t>P.SHANTHAKUMARI</t>
  </si>
  <si>
    <t>827815403V</t>
  </si>
  <si>
    <t>MAYILVAGANAM</t>
  </si>
  <si>
    <t>MALLIYAPU ES</t>
  </si>
  <si>
    <t>M.PERINBANAYAGAM</t>
  </si>
  <si>
    <t>208572/270796</t>
  </si>
  <si>
    <t>543274240V</t>
  </si>
  <si>
    <t>AJANTHA</t>
  </si>
  <si>
    <t>976151747V</t>
  </si>
  <si>
    <t>S.RAJESH KANNA</t>
  </si>
  <si>
    <t>733611529V</t>
  </si>
  <si>
    <t>V.BALAKRISHNAN</t>
  </si>
  <si>
    <t>19721234916V</t>
  </si>
  <si>
    <t>V.RAMALINGAM</t>
  </si>
  <si>
    <t>T.MOHAN</t>
  </si>
  <si>
    <t>G.PATHMANATHAN</t>
  </si>
  <si>
    <t>833133128V</t>
  </si>
  <si>
    <t>V.SARKUNARAJ</t>
  </si>
  <si>
    <t>843240640v</t>
  </si>
  <si>
    <t>KAMALAHASAN</t>
  </si>
  <si>
    <t>S.SIRI(AMP)</t>
  </si>
  <si>
    <t>851812326V</t>
  </si>
  <si>
    <t>D.JESU(BAKERY)</t>
  </si>
  <si>
    <t>866373680V</t>
  </si>
  <si>
    <t>G.VIJAYAKUMAR</t>
  </si>
  <si>
    <t>ANUJA RAMAJEYAM</t>
  </si>
  <si>
    <t>998281083V</t>
  </si>
  <si>
    <t>N.MANOJ</t>
  </si>
  <si>
    <t>778584582/776015245</t>
  </si>
  <si>
    <t>778364387V</t>
  </si>
  <si>
    <t>A.SIVAKUMAR</t>
  </si>
  <si>
    <t>SUNBRAMANIYAM SUPPAIYA</t>
  </si>
  <si>
    <t>563213949X</t>
  </si>
  <si>
    <t>BALA SUBRAMANIYAM(KADA)</t>
  </si>
  <si>
    <t>813414287v</t>
  </si>
  <si>
    <t>SUBRAMANIYAM SELVARAJ</t>
  </si>
  <si>
    <t>652642284V</t>
  </si>
  <si>
    <t>777655993/775307962</t>
  </si>
  <si>
    <t>911463776V</t>
  </si>
  <si>
    <t>KARTHIGA NATHAN</t>
  </si>
  <si>
    <t xml:space="preserve"> </t>
  </si>
  <si>
    <t>B.VIJAYALETCHUMI</t>
  </si>
  <si>
    <t>769766714/777484798</t>
  </si>
  <si>
    <t>797581992X</t>
  </si>
  <si>
    <t>P.MARUTHAMUTHU</t>
  </si>
  <si>
    <t>552242980v</t>
  </si>
  <si>
    <t>R.VIJAYAKUMAR</t>
  </si>
  <si>
    <t>792311148X</t>
  </si>
  <si>
    <t>K.SIVAKUMAR</t>
  </si>
  <si>
    <t>715385920/0755367360</t>
  </si>
  <si>
    <t>K.SIVAGHANAM</t>
  </si>
  <si>
    <t>J.ALEXANDER</t>
  </si>
  <si>
    <t>779441597/774062229</t>
  </si>
  <si>
    <t>833232649V</t>
  </si>
  <si>
    <t>S.VIJAYA</t>
  </si>
  <si>
    <t>775073578X</t>
  </si>
  <si>
    <t>S.CHANDRAN</t>
  </si>
  <si>
    <t>61076126V</t>
  </si>
  <si>
    <t>MAHENDRAN SUDHARSHAN</t>
  </si>
  <si>
    <t>K.CHANDRAMOHAN</t>
  </si>
  <si>
    <t>702171334V</t>
  </si>
  <si>
    <t>S.NEELAMEGAM</t>
  </si>
  <si>
    <t>723093309V</t>
  </si>
  <si>
    <t>U.RAJENTHIRAN</t>
  </si>
  <si>
    <t>673064736X</t>
  </si>
  <si>
    <t>S.UDAYAKUMAR(NODE)</t>
  </si>
  <si>
    <t>742923240X</t>
  </si>
  <si>
    <t>CHANDRAN(NODE)</t>
  </si>
  <si>
    <t>843645054V</t>
  </si>
  <si>
    <t>K.PRIYADHARSHAN</t>
  </si>
  <si>
    <t>763766512/773786512</t>
  </si>
  <si>
    <t>991822771V</t>
  </si>
  <si>
    <t>840743915V</t>
  </si>
  <si>
    <t>P.SIVARAJ</t>
  </si>
  <si>
    <t>840803074V</t>
  </si>
  <si>
    <t>PAKIYARAJ (NODE)</t>
  </si>
  <si>
    <t>713525838/713082621</t>
  </si>
  <si>
    <t>850340263v</t>
  </si>
  <si>
    <t>MARSK</t>
  </si>
  <si>
    <t>S.SELVI</t>
  </si>
  <si>
    <t>735984080V</t>
  </si>
  <si>
    <t>K.SELVARAJ</t>
  </si>
  <si>
    <t>766175015/761573877</t>
  </si>
  <si>
    <t>711760881V</t>
  </si>
  <si>
    <t>KAVIDHAS</t>
  </si>
  <si>
    <t>198022200V</t>
  </si>
  <si>
    <t>RAJANI MOTHER</t>
  </si>
  <si>
    <t>577483183V</t>
  </si>
  <si>
    <t xml:space="preserve">SIVARAJ  </t>
  </si>
  <si>
    <t>611095180V</t>
  </si>
  <si>
    <t>RAJATHURAI</t>
  </si>
  <si>
    <t>821904323V</t>
  </si>
  <si>
    <t>PUSHPALATHA JEYASEELAN</t>
  </si>
  <si>
    <t>763665232V</t>
  </si>
  <si>
    <t>R.VIVEKANANDHAN</t>
  </si>
  <si>
    <t>730814173X</t>
  </si>
  <si>
    <t>THAMIL CHELVAN(VEG SHOP)</t>
  </si>
  <si>
    <t>797273279V</t>
  </si>
  <si>
    <t>MANI(NODE)</t>
  </si>
  <si>
    <t>197411803404</t>
  </si>
  <si>
    <t>691234738V</t>
  </si>
  <si>
    <t xml:space="preserve">BALASUBRAMANIYAM </t>
  </si>
  <si>
    <t>712784452/763006460</t>
  </si>
  <si>
    <t>59114484V</t>
  </si>
  <si>
    <t>DHAKSHANA</t>
  </si>
  <si>
    <t>515613651/758970328</t>
  </si>
  <si>
    <t>948350513V</t>
  </si>
  <si>
    <t>KALAICHELVAM</t>
  </si>
  <si>
    <t>764189649/775625530</t>
  </si>
  <si>
    <t>685963663V</t>
  </si>
  <si>
    <t>KALAYARASAN DILAN</t>
  </si>
  <si>
    <t>951161746V</t>
  </si>
  <si>
    <t>SITHAMBARAM</t>
  </si>
  <si>
    <t>767642646/726131399</t>
  </si>
  <si>
    <t>740693646V</t>
  </si>
  <si>
    <t>RAJI RAVIKUMAR</t>
  </si>
  <si>
    <t>200032902997</t>
  </si>
  <si>
    <t>P.KANDASAMY KURUKKAL</t>
  </si>
  <si>
    <t>775452490/515613353</t>
  </si>
  <si>
    <t>491583851V</t>
  </si>
  <si>
    <t>865410018V</t>
  </si>
  <si>
    <t>S.MATHI</t>
  </si>
  <si>
    <t>768000317/766146307/754079327</t>
  </si>
  <si>
    <t>796331968v</t>
  </si>
  <si>
    <t>642423037X</t>
  </si>
  <si>
    <t>SATHEES (POST OFFICE)</t>
  </si>
  <si>
    <t>766099606/770613398</t>
  </si>
  <si>
    <t>571837609V</t>
  </si>
  <si>
    <t>BATHMASEELAN</t>
  </si>
  <si>
    <t>776021782/513504539</t>
  </si>
  <si>
    <t>813434229V</t>
  </si>
  <si>
    <t>KUTTY(CHICKEN KADA)</t>
  </si>
  <si>
    <t>587180120V</t>
  </si>
  <si>
    <t>452911728X</t>
  </si>
  <si>
    <t>SHANMUGARAJ</t>
  </si>
  <si>
    <t>SELLADHURAI BASS</t>
  </si>
  <si>
    <t>482361870X</t>
  </si>
  <si>
    <t>S.GOVINDHARAJ</t>
  </si>
  <si>
    <t>197728904821</t>
  </si>
  <si>
    <t>G.CLINMERY</t>
  </si>
  <si>
    <t>765742986X</t>
  </si>
  <si>
    <t>YOGAN(SIVA)</t>
  </si>
  <si>
    <t>776740926X</t>
  </si>
  <si>
    <t>SUBATHIRAN</t>
  </si>
  <si>
    <t>501045020V</t>
  </si>
  <si>
    <t>P.VIJAYASAMY</t>
  </si>
  <si>
    <t>KUMAR BUS</t>
  </si>
  <si>
    <t>776633240X</t>
  </si>
  <si>
    <t>LILLYMARY LOWRANCE</t>
  </si>
  <si>
    <t>766863573/761901335</t>
  </si>
  <si>
    <t>RAJA RAM</t>
  </si>
  <si>
    <t>808494840V</t>
  </si>
  <si>
    <t>SULAIMAN RAJA</t>
  </si>
  <si>
    <t>V.MICHAL RAJ</t>
  </si>
  <si>
    <t>S.RADHA</t>
  </si>
  <si>
    <t>197771103607</t>
  </si>
  <si>
    <t>KRISH MARY</t>
  </si>
  <si>
    <t>774285721/757860866</t>
  </si>
  <si>
    <t>955833856V</t>
  </si>
  <si>
    <t>SUGENDRAN BATHMASEELAN</t>
  </si>
  <si>
    <t>943134723V</t>
  </si>
  <si>
    <t>KRISHNAN</t>
  </si>
  <si>
    <t>661652438V</t>
  </si>
  <si>
    <t>VALARMATHI</t>
  </si>
  <si>
    <t>195208010010</t>
  </si>
  <si>
    <t>GANA PRAKASAM</t>
  </si>
  <si>
    <t>560602618V</t>
  </si>
  <si>
    <t>GUNASEGARAN (ASOK)</t>
  </si>
  <si>
    <t>742330850V</t>
  </si>
  <si>
    <t>VANITHA</t>
  </si>
  <si>
    <t>SARAVANA KUMAR</t>
  </si>
  <si>
    <t>B.SUGENDRAN</t>
  </si>
  <si>
    <t>767146602/751646602</t>
  </si>
  <si>
    <t>972914258V</t>
  </si>
  <si>
    <t>S.MAYURAN</t>
  </si>
  <si>
    <t>PRABAKARAN</t>
  </si>
  <si>
    <t>197633303877</t>
  </si>
  <si>
    <t>P.CHANDRAN</t>
  </si>
  <si>
    <t>SUBRAMANIYAM</t>
  </si>
  <si>
    <t>951154180V</t>
  </si>
  <si>
    <t>P.RASU</t>
  </si>
  <si>
    <t>512603556V</t>
  </si>
  <si>
    <t>K.RAMESH</t>
  </si>
  <si>
    <t>843102018V</t>
  </si>
  <si>
    <t>VIJAY NAVIN</t>
  </si>
  <si>
    <t>SIVA (NODE)</t>
  </si>
  <si>
    <t>K.SASIKUMAR</t>
  </si>
  <si>
    <t>895354090V</t>
  </si>
  <si>
    <t>M.KALIMUTHU</t>
  </si>
  <si>
    <t>601272857X</t>
  </si>
  <si>
    <t>BASS(NODE)</t>
  </si>
  <si>
    <t>T.ANANTHA KUMAR</t>
  </si>
  <si>
    <t>MURUGAN KENADY</t>
  </si>
  <si>
    <t>660343660X</t>
  </si>
  <si>
    <t>195323310079</t>
  </si>
  <si>
    <t>SATHYASEELAN</t>
  </si>
  <si>
    <t>752423396V</t>
  </si>
  <si>
    <t>P.VIJAYASEGAR</t>
  </si>
  <si>
    <t>K.PERUMAL</t>
  </si>
  <si>
    <t>775390901/774315108</t>
  </si>
  <si>
    <t>200025403295</t>
  </si>
  <si>
    <t>P.GAJENDRAN</t>
  </si>
  <si>
    <t>778281609/759904758</t>
  </si>
  <si>
    <t>200425704410</t>
  </si>
  <si>
    <t>KRISHNA KUMAR</t>
  </si>
  <si>
    <t>K.KATHIRGAMA NATHAN</t>
  </si>
  <si>
    <t>197007801585</t>
  </si>
  <si>
    <t>GANTHI PAKIYARAJ</t>
  </si>
  <si>
    <t>822781371V</t>
  </si>
  <si>
    <t>V.LUXMAN</t>
  </si>
  <si>
    <t>660294325V</t>
  </si>
  <si>
    <t>DEVA HARAN</t>
  </si>
  <si>
    <t>S.SARANYA</t>
  </si>
  <si>
    <t>V.VASANTHA MALAR</t>
  </si>
  <si>
    <t>768583416/750815393</t>
  </si>
  <si>
    <t>818204892V</t>
  </si>
  <si>
    <t>S.DINESH</t>
  </si>
  <si>
    <t>868543310V</t>
  </si>
  <si>
    <t>SEENI(NODE)</t>
  </si>
  <si>
    <t>MONTIFIOR</t>
  </si>
  <si>
    <t>S.SRIKANTH</t>
  </si>
  <si>
    <t>800314550V</t>
  </si>
  <si>
    <t>ANNAKILI SASIKUMAR</t>
  </si>
  <si>
    <t>780054859V</t>
  </si>
  <si>
    <t>624193809V</t>
  </si>
  <si>
    <t>SUBRAMANI BAKERY</t>
  </si>
  <si>
    <t>R.VIJAYARATNAM</t>
  </si>
  <si>
    <t>833564013v</t>
  </si>
  <si>
    <t>752553955V</t>
  </si>
  <si>
    <t>776380299/767011278</t>
  </si>
  <si>
    <t>8213904716V</t>
  </si>
  <si>
    <t>RAVICHANDRAN</t>
  </si>
  <si>
    <t>515680121/767011278</t>
  </si>
  <si>
    <t>753071334V</t>
  </si>
  <si>
    <t>SOUNDARAJAN MAGESHVARI</t>
  </si>
  <si>
    <t>768343196/515613475</t>
  </si>
  <si>
    <t>991782885V</t>
  </si>
  <si>
    <t>SATHYASEELAN (SINNAVAN)</t>
  </si>
  <si>
    <t>882513670V</t>
  </si>
  <si>
    <t>PANJA MOORTHI</t>
  </si>
  <si>
    <t>M.PUSHPARANI</t>
  </si>
  <si>
    <t>729460942/767011278</t>
  </si>
  <si>
    <t>817134238V</t>
  </si>
  <si>
    <t>PONNAIYA NEVI</t>
  </si>
  <si>
    <t>591243543V</t>
  </si>
  <si>
    <t>BATHMANATHAN</t>
  </si>
  <si>
    <t>705600593/752087592</t>
  </si>
  <si>
    <t>857575466v</t>
  </si>
  <si>
    <t>ARUMUGAM SUJI</t>
  </si>
  <si>
    <t>83143364v</t>
  </si>
  <si>
    <t>N.JEYA</t>
  </si>
  <si>
    <t>816155215V</t>
  </si>
  <si>
    <t>THANGESHVARI</t>
  </si>
  <si>
    <t>947784501V</t>
  </si>
  <si>
    <t>CHANDRASEKARAN</t>
  </si>
  <si>
    <t>779396917/776368871</t>
  </si>
  <si>
    <t>857342933V</t>
  </si>
  <si>
    <t>KRISNA KUMAR(JEGAJOTHI)</t>
  </si>
  <si>
    <t>G.DEVARAJ</t>
  </si>
  <si>
    <t>930443166V</t>
  </si>
  <si>
    <t>KANIYAMMA</t>
  </si>
  <si>
    <t>R.MURUGAPPAN</t>
  </si>
  <si>
    <t>770320394/773930928</t>
  </si>
  <si>
    <t>632103271X</t>
  </si>
  <si>
    <t>B.REETA POLICE(NODE)</t>
  </si>
  <si>
    <t>K.KRISHNA RAJ</t>
  </si>
  <si>
    <t>873040980V</t>
  </si>
  <si>
    <t>NAVIN (VASANTHI)</t>
  </si>
  <si>
    <t>762952747/778797573</t>
  </si>
  <si>
    <t>731534713V</t>
  </si>
  <si>
    <t>S.PUSHPANATHAN</t>
  </si>
  <si>
    <t>980493717V</t>
  </si>
  <si>
    <t>GANESHAN ASOK</t>
  </si>
  <si>
    <t>912732746V</t>
  </si>
  <si>
    <t>S.THIYAGARAJ</t>
  </si>
  <si>
    <t>812762214X</t>
  </si>
  <si>
    <t>R.THIYAGU</t>
  </si>
  <si>
    <t>733132760V</t>
  </si>
  <si>
    <t>SHIVANANDHARAJAH</t>
  </si>
  <si>
    <t>812475010V</t>
  </si>
  <si>
    <t>NAVARATNAM</t>
  </si>
  <si>
    <t>800952476X</t>
  </si>
  <si>
    <t>PARAMESWARI</t>
  </si>
  <si>
    <t>SIVAKUMAR PRADHEEP</t>
  </si>
  <si>
    <t>S.VALRAJ</t>
  </si>
  <si>
    <t>851570012V</t>
  </si>
  <si>
    <t>090111/121908</t>
  </si>
  <si>
    <t>GURU NAGUSEVAI</t>
  </si>
  <si>
    <t>A.KRISHNA KUMAR</t>
  </si>
  <si>
    <t>962684823V</t>
  </si>
  <si>
    <t>775519561/778511906</t>
  </si>
  <si>
    <t>941414028V</t>
  </si>
  <si>
    <t>R.RAMESH</t>
  </si>
  <si>
    <t>781262951X</t>
  </si>
  <si>
    <t>S.RAMAN</t>
  </si>
  <si>
    <t>SIVAKUMAR POLICE(NODE)</t>
  </si>
  <si>
    <t>K.DEEBAN</t>
  </si>
  <si>
    <t>833455176V</t>
  </si>
  <si>
    <t>DHAYABARAN</t>
  </si>
  <si>
    <t>842274281V</t>
  </si>
  <si>
    <t>AJI BUS</t>
  </si>
  <si>
    <t xml:space="preserve">VIJAYAKANTH   </t>
  </si>
  <si>
    <t>CHANDRA MOHAN.K</t>
  </si>
  <si>
    <t>750493742X</t>
  </si>
  <si>
    <t>R.RAHUL SRINATH</t>
  </si>
  <si>
    <t>973580337V</t>
  </si>
  <si>
    <t>P.SUNDARALINGAM</t>
  </si>
  <si>
    <t>603134249V</t>
  </si>
  <si>
    <t>GANESH RAJ(MILK MAN)</t>
  </si>
  <si>
    <t>277983/072523</t>
  </si>
  <si>
    <t>PANMURE</t>
  </si>
  <si>
    <t>523422324V</t>
  </si>
  <si>
    <t>V.JEEVA</t>
  </si>
  <si>
    <t>660683291X</t>
  </si>
  <si>
    <t>82117482V</t>
  </si>
  <si>
    <t>RAMAN</t>
  </si>
  <si>
    <t>898662837V</t>
  </si>
  <si>
    <t>847122048V</t>
  </si>
  <si>
    <t>M.KALAICHELVAN</t>
  </si>
  <si>
    <t>713648052/762576413</t>
  </si>
  <si>
    <t>711324585X</t>
  </si>
  <si>
    <t>731514208V</t>
  </si>
  <si>
    <t>YOGAN LOGESHVARAN</t>
  </si>
  <si>
    <t>769747976/777632356</t>
  </si>
  <si>
    <t>REMO ANCHOR(AMP)</t>
  </si>
  <si>
    <t>851633804V</t>
  </si>
  <si>
    <t xml:space="preserve">SURESH KUMAR </t>
  </si>
  <si>
    <t>715887890/715837451/766673847</t>
  </si>
  <si>
    <t>697193677V</t>
  </si>
  <si>
    <t>S.KUMARESHAN(K.KONSILA)</t>
  </si>
  <si>
    <t>762122477/774439081</t>
  </si>
  <si>
    <t>S.JANARTHANI(JANU)</t>
  </si>
  <si>
    <t>965204032V</t>
  </si>
  <si>
    <t>P.RAMASAMY</t>
  </si>
  <si>
    <t>651144124V</t>
  </si>
  <si>
    <t>RAJENDRAN (JANAGARAJ)</t>
  </si>
  <si>
    <t>766567408/778349601</t>
  </si>
  <si>
    <t>G.SEVANU (RAVI FATHER)</t>
  </si>
  <si>
    <t>561464170X</t>
  </si>
  <si>
    <t>S.JESU DASAN</t>
  </si>
  <si>
    <t>712116856/765579888</t>
  </si>
  <si>
    <t>RAMESH CHANDRA</t>
  </si>
  <si>
    <t>RAJA KOVIL</t>
  </si>
  <si>
    <t>681804110V</t>
  </si>
  <si>
    <t>S.SELVAMANI</t>
  </si>
  <si>
    <t>RAJAMANI</t>
  </si>
  <si>
    <t>707334428V</t>
  </si>
  <si>
    <t>R.SATHYARAJ</t>
  </si>
  <si>
    <t>560522371X</t>
  </si>
  <si>
    <t>DEVARAYAN VIKNESVARAN</t>
  </si>
  <si>
    <t>T.KRISHNAVENI</t>
  </si>
  <si>
    <t>712049660/719994503</t>
  </si>
  <si>
    <t>770582695V</t>
  </si>
  <si>
    <t>S.JEGADHEESAN(DHUSHIYANTHAN)</t>
  </si>
  <si>
    <t>764846703/763306703</t>
  </si>
  <si>
    <t>930143022V</t>
  </si>
  <si>
    <t>P.NADARAJ</t>
  </si>
  <si>
    <t>631793118V</t>
  </si>
  <si>
    <t>P.SASIKALA(TEACHER)</t>
  </si>
  <si>
    <t>865743068V</t>
  </si>
  <si>
    <t>NEELAMEGAM</t>
  </si>
  <si>
    <t>497664/711933</t>
  </si>
  <si>
    <t>BALAR (ASK)</t>
  </si>
  <si>
    <t>MAYIL VIMAL</t>
  </si>
  <si>
    <t>620854662V</t>
  </si>
  <si>
    <t>S.PERUMAL</t>
  </si>
  <si>
    <t>510592921x</t>
  </si>
  <si>
    <t>P.PUSPARAJ</t>
  </si>
  <si>
    <t>661912685X</t>
  </si>
  <si>
    <t>PUSPARAJ RUBAN</t>
  </si>
  <si>
    <t>767533151/754896580</t>
  </si>
  <si>
    <t>922960089V</t>
  </si>
  <si>
    <t>R.BALACHANDRAN</t>
  </si>
  <si>
    <t>660744339X</t>
  </si>
  <si>
    <t>S.DHEVA</t>
  </si>
  <si>
    <t>719475448/768856965</t>
  </si>
  <si>
    <t>KRISHTOPER</t>
  </si>
  <si>
    <t>857490860v</t>
  </si>
  <si>
    <t>RAJENDRAN(NODE)</t>
  </si>
  <si>
    <t>J.KOKILARENI</t>
  </si>
  <si>
    <t>K.THANGARAJ</t>
  </si>
  <si>
    <t>741262797V</t>
  </si>
  <si>
    <t>T.MOGAN</t>
  </si>
  <si>
    <t>881062267V</t>
  </si>
  <si>
    <t>THOMAS NODE</t>
  </si>
  <si>
    <t>M.PATHMANATHAN</t>
  </si>
  <si>
    <t>792433545X</t>
  </si>
  <si>
    <t>PERIYA THAMBI(MUNIYANDY SEVANU)</t>
  </si>
  <si>
    <t>680664897V</t>
  </si>
  <si>
    <t>KANNAN</t>
  </si>
  <si>
    <t>M.MURUGAIYA</t>
  </si>
  <si>
    <t xml:space="preserve">RAMAR </t>
  </si>
  <si>
    <t>661894466v</t>
  </si>
  <si>
    <t>GARRAGE KOVIL(NODE)</t>
  </si>
  <si>
    <t>682192143X</t>
  </si>
  <si>
    <t>STRATHON</t>
  </si>
  <si>
    <t>THANGAVEL THANALETCHUMI</t>
  </si>
  <si>
    <t>MENARAJ MOHANRAJ</t>
  </si>
  <si>
    <t>971924241V</t>
  </si>
  <si>
    <t>NADESHAN BALA</t>
  </si>
  <si>
    <t>755559528/761571474</t>
  </si>
  <si>
    <t>905514253v</t>
  </si>
  <si>
    <t>JESUDAS</t>
  </si>
  <si>
    <t>728990479/741832600</t>
  </si>
  <si>
    <t>615914541V</t>
  </si>
  <si>
    <t>912062791V</t>
  </si>
  <si>
    <t>SEETHA LETCHUMI</t>
  </si>
  <si>
    <t>PERUMAL KIRUBAKARAN</t>
  </si>
  <si>
    <t>771196789/768287847</t>
  </si>
  <si>
    <t>SELVAMANI</t>
  </si>
  <si>
    <t>985773947V</t>
  </si>
  <si>
    <t>P.PUSHPARANI(SHOP)</t>
  </si>
  <si>
    <t>855404010V</t>
  </si>
  <si>
    <t>V.RAJA MOORTHY</t>
  </si>
  <si>
    <t>767372846/728272846</t>
  </si>
  <si>
    <t>M.UNGA (AMP)</t>
  </si>
  <si>
    <t>R.JEYANTHI</t>
  </si>
  <si>
    <t>762876406/764047839</t>
  </si>
  <si>
    <t>757593335X</t>
  </si>
  <si>
    <t>RAJENDRAN DRIVER</t>
  </si>
  <si>
    <t>R.ALAMUTHU</t>
  </si>
  <si>
    <t>770433987/760381652</t>
  </si>
  <si>
    <t>891244509V</t>
  </si>
  <si>
    <t>RAJA WHEEL</t>
  </si>
  <si>
    <t>JEYAMURUGAN RAVI</t>
  </si>
  <si>
    <t>710014639X</t>
  </si>
  <si>
    <t>766374174V</t>
  </si>
  <si>
    <t>R.RAJA GOPAL SASITHARAN</t>
  </si>
  <si>
    <t>647144101V</t>
  </si>
  <si>
    <t>VIJAYALETCHUMI</t>
  </si>
  <si>
    <t>890184472v</t>
  </si>
  <si>
    <t>V.PUSHPAVATHI</t>
  </si>
  <si>
    <t>993454745V</t>
  </si>
  <si>
    <t>RAM KUMAR</t>
  </si>
  <si>
    <t>MUNIYAPAN</t>
  </si>
  <si>
    <r>
      <rPr>
        <sz val="11"/>
        <color rgb="FFC00000"/>
        <rFont val="Calibri"/>
        <family val="2"/>
        <scheme val="minor"/>
      </rPr>
      <t>283395/</t>
    </r>
    <r>
      <rPr>
        <sz val="11"/>
        <color theme="1"/>
        <rFont val="Calibri"/>
        <family val="2"/>
        <scheme val="minor"/>
      </rPr>
      <t>105117</t>
    </r>
  </si>
  <si>
    <t>811282162V</t>
  </si>
  <si>
    <t>N.CHANDRAN</t>
  </si>
  <si>
    <t>743344449/773362482</t>
  </si>
  <si>
    <t>823382812V</t>
  </si>
  <si>
    <t>RAJA KUMARI</t>
  </si>
  <si>
    <t>765044103v</t>
  </si>
  <si>
    <t>K.LAKSMAN</t>
  </si>
  <si>
    <t>515613787/758158301/774267744</t>
  </si>
  <si>
    <t>612335117v</t>
  </si>
  <si>
    <t>RAJENDRAN SASI</t>
  </si>
  <si>
    <t>712688280/771113376</t>
  </si>
  <si>
    <t>S.MUTHU KRISHNAN</t>
  </si>
  <si>
    <t>515689989/767576302</t>
  </si>
  <si>
    <t>KUMAR SASIKALA</t>
  </si>
  <si>
    <t>842595495v</t>
  </si>
  <si>
    <t>T.SUBRAMANI</t>
  </si>
  <si>
    <t>657182893v</t>
  </si>
  <si>
    <t>MANIKARAJ (NODE)</t>
  </si>
  <si>
    <t>911533588V</t>
  </si>
  <si>
    <t>622931990X</t>
  </si>
  <si>
    <t>S.SAJEEVAN</t>
  </si>
  <si>
    <t>764828976/762738976</t>
  </si>
  <si>
    <t>965602054V</t>
  </si>
  <si>
    <t>A.STEBANRAJ (AMP)</t>
  </si>
  <si>
    <t>M.KANDHAIYA</t>
  </si>
  <si>
    <t>729049758/719049758</t>
  </si>
  <si>
    <t>893132570V</t>
  </si>
  <si>
    <t>K.SRITHARAN</t>
  </si>
  <si>
    <t>910471562V</t>
  </si>
  <si>
    <t>A.KARTHIGAI NATHAN</t>
  </si>
  <si>
    <t>723281317/775208688/775923271</t>
  </si>
  <si>
    <t>802391650V</t>
  </si>
  <si>
    <t>R.GANESHAN ARUL</t>
  </si>
  <si>
    <t>773480019/768384452/515689683</t>
  </si>
  <si>
    <t>892473790v</t>
  </si>
  <si>
    <t>A.MANOJINI</t>
  </si>
  <si>
    <t>S.ARUMUGAM MALAR</t>
  </si>
  <si>
    <t>712522941X</t>
  </si>
  <si>
    <t>S.VICTORIYA</t>
  </si>
  <si>
    <t>VISVA</t>
  </si>
  <si>
    <t>717968679/770415503/766704541</t>
  </si>
  <si>
    <t>853054127v</t>
  </si>
  <si>
    <t>SUNIL</t>
  </si>
  <si>
    <t>848273805V</t>
  </si>
  <si>
    <t>513501983/775637173</t>
  </si>
  <si>
    <t>641672971X</t>
  </si>
  <si>
    <t>ALOSIES SURESH</t>
  </si>
  <si>
    <t>778782172/761555948/777160796</t>
  </si>
  <si>
    <t>902762531v</t>
  </si>
  <si>
    <t>SABAPATHI</t>
  </si>
  <si>
    <t>832671886V</t>
  </si>
  <si>
    <t>M.MATHAVAN</t>
  </si>
  <si>
    <t>900974574V</t>
  </si>
  <si>
    <t>P.PRABAHASAN SUBRAMANIYAM</t>
  </si>
  <si>
    <t>KIRUBHAKARAN(BABU)</t>
  </si>
  <si>
    <t>892833788V</t>
  </si>
  <si>
    <t>770443868/750354607</t>
  </si>
  <si>
    <t>MAHARAJA</t>
  </si>
  <si>
    <t>640624299V</t>
  </si>
  <si>
    <t>K.RAVI</t>
  </si>
  <si>
    <t>807801139V</t>
  </si>
  <si>
    <t>N.KOGILAVANI</t>
  </si>
  <si>
    <t>927651742V</t>
  </si>
  <si>
    <t>MN.RADHIKA</t>
  </si>
  <si>
    <t>768939064/762581803</t>
  </si>
  <si>
    <t>807846256V</t>
  </si>
  <si>
    <t>670685283V</t>
  </si>
  <si>
    <t>K.KUMARASAMY</t>
  </si>
  <si>
    <t>772264306/770459934</t>
  </si>
  <si>
    <t>608091343v</t>
  </si>
  <si>
    <t>ARUMUGAM NAMASIVAYAM</t>
  </si>
  <si>
    <t>860423812v</t>
  </si>
  <si>
    <t>MURUGAN VIJAYALETCHUMI</t>
  </si>
  <si>
    <t>SIVANU SIVAKUMARI</t>
  </si>
  <si>
    <t>718859212/712980237</t>
  </si>
  <si>
    <t>807802461x</t>
  </si>
  <si>
    <t>T.CHANDRA KUMAR</t>
  </si>
  <si>
    <t>V.VIVEKANANDARAJAN</t>
  </si>
  <si>
    <t>NADARAJA SUMITHRA</t>
  </si>
  <si>
    <t>SANJEEVAN(SULOMINI)</t>
  </si>
  <si>
    <t>SELLAKUTTI(NODE)</t>
  </si>
  <si>
    <t>761261347V</t>
  </si>
  <si>
    <t>MANI DRIVER</t>
  </si>
  <si>
    <t>793524412v</t>
  </si>
  <si>
    <t>872463941V</t>
  </si>
  <si>
    <t>P.JEGANATHAN</t>
  </si>
  <si>
    <t>520074872V</t>
  </si>
  <si>
    <t>A.MEENAMBIGA</t>
  </si>
  <si>
    <t>656572531X</t>
  </si>
  <si>
    <t>N.JEEVIYA</t>
  </si>
  <si>
    <t>FRANKLAND BAR(S.VIDHUSHAN)</t>
  </si>
  <si>
    <t>184237/672017</t>
  </si>
  <si>
    <r>
      <rPr>
        <sz val="11"/>
        <color rgb="FFFF0000"/>
        <rFont val="Calibri"/>
        <family val="2"/>
        <scheme val="minor"/>
      </rPr>
      <t>414808/</t>
    </r>
    <r>
      <rPr>
        <sz val="11"/>
        <rFont val="Calibri"/>
        <family val="2"/>
        <scheme val="minor"/>
      </rPr>
      <t>490022</t>
    </r>
  </si>
  <si>
    <t>262662/634363</t>
  </si>
  <si>
    <t>871103160V</t>
  </si>
  <si>
    <t>T.MARY</t>
  </si>
  <si>
    <t>826322250V</t>
  </si>
  <si>
    <t>KOBU</t>
  </si>
  <si>
    <t>740184100/779441597</t>
  </si>
  <si>
    <t>B.LASANTHA</t>
  </si>
  <si>
    <t>679285/610041</t>
  </si>
  <si>
    <t>850021716V</t>
  </si>
  <si>
    <t>P.JHONSON RAVI</t>
  </si>
  <si>
    <t>779139918/716580089</t>
  </si>
  <si>
    <t>700440265V</t>
  </si>
  <si>
    <t>995452448V</t>
  </si>
  <si>
    <t>NALLUSAMY KG PRASATH KUMAR</t>
  </si>
  <si>
    <t>545531836V</t>
  </si>
  <si>
    <t>S.PERINBANATHAN</t>
  </si>
  <si>
    <t>777535699/715693664</t>
  </si>
  <si>
    <t>C.HETIARACHI</t>
  </si>
  <si>
    <t>NO:36/A</t>
  </si>
  <si>
    <t>S.PRADHEEP(SIVA SALOON)</t>
  </si>
  <si>
    <t>991214380V</t>
  </si>
  <si>
    <t>BALA MOTHER JEEVA</t>
  </si>
  <si>
    <t>R.BABU</t>
  </si>
  <si>
    <t>NO:85B</t>
  </si>
  <si>
    <t>772820909X</t>
  </si>
  <si>
    <t>M.RAMACHANDRAN</t>
  </si>
  <si>
    <t>766473725V</t>
  </si>
  <si>
    <t>T.GANESHAMOORTHY</t>
  </si>
  <si>
    <t>S.DHINESH SUBAGARAN</t>
  </si>
  <si>
    <t>981252950V</t>
  </si>
  <si>
    <t>VANARAJA (V.ANDRU)</t>
  </si>
  <si>
    <t>PARVATHI</t>
  </si>
  <si>
    <t>840132536V</t>
  </si>
  <si>
    <t>DHARMARAJ</t>
  </si>
  <si>
    <t>837162505V</t>
  </si>
  <si>
    <t>AZARI</t>
  </si>
  <si>
    <t>NO:102/16A</t>
  </si>
  <si>
    <t>776264866/785395885</t>
  </si>
  <si>
    <t>967824615V</t>
  </si>
  <si>
    <t>RAMZAAN</t>
  </si>
  <si>
    <t>841612876V</t>
  </si>
  <si>
    <t>E.PRASANYA</t>
  </si>
  <si>
    <t>705148258/762530455</t>
  </si>
  <si>
    <t>K.ANANDHARA</t>
  </si>
  <si>
    <t>198234201656X</t>
  </si>
  <si>
    <t>233283/653801</t>
  </si>
  <si>
    <t>SUBRAMANIYAM PRAMILADHEVI</t>
  </si>
  <si>
    <t>JM.AHAMAD KHAN</t>
  </si>
  <si>
    <t>NO:102/4A</t>
  </si>
  <si>
    <t>710972728/773579025</t>
  </si>
  <si>
    <t>911083795V</t>
  </si>
  <si>
    <t>N.SELVARAJ</t>
  </si>
  <si>
    <t>S.KOBINATH</t>
  </si>
  <si>
    <t>NO:38C</t>
  </si>
  <si>
    <t>KAMAL SALOON</t>
  </si>
  <si>
    <t>DEEN BAI GARAGE</t>
  </si>
  <si>
    <t>NO:207</t>
  </si>
  <si>
    <t>672362766X</t>
  </si>
  <si>
    <t>POLY MEENA</t>
  </si>
  <si>
    <t>781501009/710386425</t>
  </si>
  <si>
    <t>998231256V</t>
  </si>
  <si>
    <t>I.JAYALATCHUMI</t>
  </si>
  <si>
    <t>916963262V</t>
  </si>
  <si>
    <t>SEGAR LATHA</t>
  </si>
  <si>
    <t>ARUL MOHAN</t>
  </si>
  <si>
    <t>712784396/721449273</t>
  </si>
  <si>
    <t>M.ASOK</t>
  </si>
  <si>
    <t>CN.PRASATH(KALYANI)</t>
  </si>
  <si>
    <t>719121416/719050977</t>
  </si>
  <si>
    <t>872181407V</t>
  </si>
  <si>
    <t>113129/408263</t>
  </si>
  <si>
    <t>S.NISHANTHAN</t>
  </si>
  <si>
    <t>199310101111</t>
  </si>
  <si>
    <t>624752/094147</t>
  </si>
  <si>
    <t>743293393/719272992</t>
  </si>
  <si>
    <t>MURALIDHARAN(NODE)</t>
  </si>
  <si>
    <t>740193143V</t>
  </si>
  <si>
    <t>S.BALAKRISHNAN</t>
  </si>
  <si>
    <t>776453917/760865857</t>
  </si>
  <si>
    <t>853310050V</t>
  </si>
  <si>
    <t>SANGAIYA KALAICHELVAN</t>
  </si>
  <si>
    <t xml:space="preserve">NO:21 </t>
  </si>
  <si>
    <t>800851700X</t>
  </si>
  <si>
    <t>P.SANGEETHA</t>
  </si>
  <si>
    <t>755131024V</t>
  </si>
  <si>
    <t>K.RAJARATHNAM</t>
  </si>
  <si>
    <t>S.JEGAMOGAN</t>
  </si>
  <si>
    <t>702704111V</t>
  </si>
  <si>
    <t>G.KOBINATH</t>
  </si>
  <si>
    <t>313877/549579</t>
  </si>
  <si>
    <t>GANESHALINGAM(NODE)</t>
  </si>
  <si>
    <t>S.NAVANEETHAN</t>
  </si>
  <si>
    <t>97700349.V</t>
  </si>
  <si>
    <t>S.MAHENDRAN(AMP)</t>
  </si>
  <si>
    <t>852770856V</t>
  </si>
  <si>
    <t>K.SASIKANTH</t>
  </si>
  <si>
    <t>NO:19/1</t>
  </si>
  <si>
    <t>766789717/759372813</t>
  </si>
  <si>
    <t>T.VIJAYAKUMAR</t>
  </si>
  <si>
    <t>MAGENDRAN</t>
  </si>
  <si>
    <t>K.KAVIDHARAJ</t>
  </si>
  <si>
    <t>NO:369/2</t>
  </si>
  <si>
    <t>774563949/760893949</t>
  </si>
  <si>
    <t>792583130V</t>
  </si>
  <si>
    <t>GOLDEN MAHAL</t>
  </si>
  <si>
    <t>V.DHUSHIYANTHAN</t>
  </si>
  <si>
    <t>V.MALARKODI</t>
  </si>
  <si>
    <t>766021514V</t>
  </si>
  <si>
    <t>NO:35/12</t>
  </si>
  <si>
    <t>PRISON POLICE</t>
  </si>
  <si>
    <t>GEORGE ANTON</t>
  </si>
  <si>
    <t>NO:108/2</t>
  </si>
  <si>
    <t>850443912V</t>
  </si>
  <si>
    <t>M.SINNATHAMBI</t>
  </si>
  <si>
    <t>K.VELLASAMY(PAKI)</t>
  </si>
  <si>
    <t>DUNBAR LD</t>
  </si>
  <si>
    <t>DUNBAR UD</t>
  </si>
  <si>
    <t>K.SURESH</t>
  </si>
  <si>
    <t>NO:199/14</t>
  </si>
  <si>
    <t>NO:167/7</t>
  </si>
  <si>
    <t>NO:39/9A</t>
  </si>
  <si>
    <t>M.BALACHANDRAN</t>
  </si>
  <si>
    <t>NO:213/C</t>
  </si>
  <si>
    <t>700830233V</t>
  </si>
  <si>
    <t>S.DHILAKSHI</t>
  </si>
  <si>
    <t>T.ATPUTHAMALAR</t>
  </si>
  <si>
    <t>SARAVANAN(M.VIJAYALETCHUMI)</t>
  </si>
  <si>
    <t>677864664V</t>
  </si>
  <si>
    <t>S.KALIMUTHU(RTS)</t>
  </si>
  <si>
    <t>471840718X</t>
  </si>
  <si>
    <t>S.PRIYADHARSHAN</t>
  </si>
  <si>
    <t>775575478/765786003</t>
  </si>
  <si>
    <t>19941210060V</t>
  </si>
  <si>
    <t>SOOSAI KINGSLEY JOSHAP</t>
  </si>
  <si>
    <t>769164472/760374472</t>
  </si>
  <si>
    <t xml:space="preserve">JEGAN </t>
  </si>
  <si>
    <t>M.MUNIMUTHU</t>
  </si>
  <si>
    <t>R.NIRMALA</t>
  </si>
  <si>
    <t>78727774340V</t>
  </si>
  <si>
    <t>S.THIRUCHANDRAN(THIRUCHA)</t>
  </si>
  <si>
    <t>197428904410</t>
  </si>
  <si>
    <t>K.SIVALINGAM</t>
  </si>
  <si>
    <t xml:space="preserve">S.SURESH KUMAR </t>
  </si>
  <si>
    <t>M.NISHANTHINI</t>
  </si>
  <si>
    <t>948193809V</t>
  </si>
  <si>
    <t>MALIYAPU ES</t>
  </si>
  <si>
    <t>TOTAL</t>
  </si>
  <si>
    <t>R.CHANDRAKUMAR</t>
  </si>
  <si>
    <t>THANGAIYA(NODE)</t>
  </si>
  <si>
    <t>SS.PRAMILA</t>
  </si>
  <si>
    <t>867714030V</t>
  </si>
  <si>
    <t>SALMAN</t>
  </si>
  <si>
    <t>M.CHANDRAKUMARI</t>
  </si>
  <si>
    <t>T.SARVANANTHAN</t>
  </si>
  <si>
    <t>776485057/773411630</t>
  </si>
  <si>
    <t>K.PRAMILA</t>
  </si>
  <si>
    <t>A.DHASAN</t>
  </si>
  <si>
    <t>767212810/743485100</t>
  </si>
  <si>
    <t>P.ANANTHAKUMAR(AYA SHOP)</t>
  </si>
  <si>
    <t>872664971V</t>
  </si>
  <si>
    <t>S.SIVAPRAGASAM</t>
  </si>
  <si>
    <t>M.GANESHVARAN(GNANESH)</t>
  </si>
  <si>
    <t>PERIYASAMY(NODE)</t>
  </si>
  <si>
    <t>S.MAGESHVARI (SELVARAJ)</t>
  </si>
  <si>
    <t>NO:9Q</t>
  </si>
  <si>
    <t>767344364/775406550</t>
  </si>
  <si>
    <t>N.KANDHAIYA</t>
  </si>
  <si>
    <t>533163122V</t>
  </si>
  <si>
    <t>S.SATHYAMOORTHI</t>
  </si>
  <si>
    <t>A.RASALINGAM</t>
  </si>
  <si>
    <t>760133810/762477345</t>
  </si>
  <si>
    <t>976273052V</t>
  </si>
  <si>
    <t>632048/093578</t>
  </si>
  <si>
    <t>N.LOGESHVARAN(KANNA)</t>
  </si>
  <si>
    <t>773537185/771793946</t>
  </si>
  <si>
    <t>832024910V</t>
  </si>
  <si>
    <t>S.SUDHAKARAN</t>
  </si>
  <si>
    <t>NO:81C</t>
  </si>
  <si>
    <t>712341145/702568453</t>
  </si>
  <si>
    <t>S.RAJA</t>
  </si>
  <si>
    <t>981242203V</t>
  </si>
  <si>
    <t>S.RAJENDRAN</t>
  </si>
  <si>
    <t>B.SIVABALA SUNDARAM SURESH</t>
  </si>
  <si>
    <t>778857300/772845027</t>
  </si>
  <si>
    <t>800712009V</t>
  </si>
  <si>
    <r>
      <t xml:space="preserve">R.SASIKUMAR    </t>
    </r>
    <r>
      <rPr>
        <sz val="11"/>
        <color rgb="FF0070C0"/>
        <rFont val="Calibri"/>
        <family val="2"/>
        <scheme val="minor"/>
      </rPr>
      <t>( APSARA FASHION )</t>
    </r>
  </si>
  <si>
    <t>AH.PREMARATHNA</t>
  </si>
  <si>
    <t>NO:102/9</t>
  </si>
  <si>
    <t>600292722V</t>
  </si>
  <si>
    <t>NO:71</t>
  </si>
  <si>
    <t>700804968V</t>
  </si>
  <si>
    <t>SHANMUGAKUMAR KAWSHIKA</t>
  </si>
  <si>
    <t>751564147V</t>
  </si>
  <si>
    <t>M.SUBASHINI</t>
  </si>
  <si>
    <t>877014053V</t>
  </si>
  <si>
    <t>RUBAN SALOON</t>
  </si>
  <si>
    <t>775096107/715374232</t>
  </si>
  <si>
    <t>540465312V</t>
  </si>
  <si>
    <t>M.RAVINDRAN  ( SIR )</t>
  </si>
  <si>
    <t>RAJADHURAI SHADURJAN</t>
  </si>
  <si>
    <t>770831203/767516637</t>
  </si>
  <si>
    <t>J.GOBI</t>
  </si>
  <si>
    <t>NO:102/9A</t>
  </si>
  <si>
    <t>764128204/768822276</t>
  </si>
  <si>
    <t xml:space="preserve">850912343 V  </t>
  </si>
  <si>
    <t>MS.INGERSAL</t>
  </si>
  <si>
    <t>763082733V</t>
  </si>
  <si>
    <t>S.PRABAGARAN</t>
  </si>
  <si>
    <t>RAJASEGARAM</t>
  </si>
  <si>
    <t>SEGAR PUVANESHVARI</t>
  </si>
  <si>
    <t>778284800/775819145</t>
  </si>
  <si>
    <t>MOHAMAD MOHIN</t>
  </si>
  <si>
    <t>773236672/764990984</t>
  </si>
  <si>
    <t>851553207V</t>
  </si>
  <si>
    <t>P.SUNDHARARAJ</t>
  </si>
  <si>
    <t>700064160V</t>
  </si>
  <si>
    <t>T.SAFRAZ</t>
  </si>
  <si>
    <t>756662191/705759971</t>
  </si>
  <si>
    <t>934252010V</t>
  </si>
  <si>
    <t>BADURDEEN(MORATUWA FURNITURE)</t>
  </si>
  <si>
    <t>V.KRISHNAVENI</t>
  </si>
  <si>
    <t>NO:48/32</t>
  </si>
  <si>
    <t>807391127X</t>
  </si>
  <si>
    <t>T.THILAGASUNDAR</t>
  </si>
  <si>
    <t>P.PARAMASIVAM</t>
  </si>
  <si>
    <t>NO:36/9</t>
  </si>
  <si>
    <t>T.SABARETHARAN</t>
  </si>
  <si>
    <t>PONNUSAMI AMBIGA</t>
  </si>
  <si>
    <t>823635516V</t>
  </si>
  <si>
    <t>A.PUSHPARANI</t>
  </si>
  <si>
    <t>SUBAS GANESH</t>
  </si>
  <si>
    <t>930242772V</t>
  </si>
  <si>
    <t>S.THANGARAJ</t>
  </si>
  <si>
    <t>LATHA JEWELLERS(S.MAGESH)</t>
  </si>
  <si>
    <t>A-G NO</t>
  </si>
  <si>
    <t>1150314 ,1150581</t>
  </si>
  <si>
    <t>casn: 284888</t>
  </si>
  <si>
    <t>M.SIRAJDEEN</t>
  </si>
  <si>
    <t>N.A.WERAWADANA</t>
  </si>
  <si>
    <t>NO:42A</t>
  </si>
  <si>
    <t>770668006/777635568</t>
  </si>
  <si>
    <t>558462779 V</t>
  </si>
  <si>
    <t>S.SRIKANTHARAJA</t>
  </si>
  <si>
    <t>NO:5A</t>
  </si>
  <si>
    <t>771968119/718166714</t>
  </si>
  <si>
    <t>690130637V</t>
  </si>
  <si>
    <t>5122222267/778753071</t>
  </si>
  <si>
    <t>NO:137</t>
  </si>
  <si>
    <t>1150002/1150541</t>
  </si>
  <si>
    <t>1150136/1150623</t>
  </si>
  <si>
    <t>1150577/1150011</t>
  </si>
  <si>
    <t>M.KANNADHASAN</t>
  </si>
  <si>
    <t>1150021/1150646</t>
  </si>
  <si>
    <t>1150423/1150572</t>
  </si>
  <si>
    <t>MUTHAIYA DICKMOR</t>
  </si>
  <si>
    <t>NO:32/14,2ND LANE</t>
  </si>
  <si>
    <t>P.JANANI</t>
  </si>
  <si>
    <t>NO:140/1</t>
  </si>
  <si>
    <t>S.DEVARAJA</t>
  </si>
  <si>
    <t xml:space="preserve">PONNAIYA      </t>
  </si>
  <si>
    <t>752120933/712734925</t>
  </si>
  <si>
    <t>832151670V</t>
  </si>
  <si>
    <t>K.PRABA (BOBBY STORES)</t>
  </si>
  <si>
    <t>763300862X</t>
  </si>
  <si>
    <t>237720/222649/372709/324833/194186/281504</t>
  </si>
  <si>
    <t>P.VICTOR</t>
  </si>
  <si>
    <t>P.SHEELA</t>
  </si>
  <si>
    <t>KOGILADHEVI</t>
  </si>
  <si>
    <t>D.DHARSHANI</t>
  </si>
  <si>
    <t>NO:52/2A</t>
  </si>
  <si>
    <t>865041187V</t>
  </si>
  <si>
    <t>G.PATHMANADHAN(TRYME TAILORING)</t>
  </si>
  <si>
    <t>PARASURAMAN SURESH</t>
  </si>
  <si>
    <t>D.PUNNIYAMOORTHI (LAKSHMI SALOON)</t>
  </si>
  <si>
    <t>NO:4/1/1</t>
  </si>
  <si>
    <t>620454494V</t>
  </si>
  <si>
    <t>S.PRABAKARAN (UC PRABA)</t>
  </si>
  <si>
    <t>K.KARTHIGESON</t>
  </si>
  <si>
    <t>613210210V</t>
  </si>
  <si>
    <t>G.GHANA SANGEETHA</t>
  </si>
  <si>
    <t>866454426V</t>
  </si>
  <si>
    <t>S.DEVIGA (TEACHER)</t>
  </si>
  <si>
    <t>ILAYARAJ KP</t>
  </si>
  <si>
    <t>840642801V</t>
  </si>
  <si>
    <t>P.CHANDRASEGARAN</t>
  </si>
  <si>
    <t>833104942V</t>
  </si>
  <si>
    <t>S.SELVAKUMAR (FIELD OFFICER)</t>
  </si>
  <si>
    <t>721022323V</t>
  </si>
  <si>
    <t>S.GNANASEGAR</t>
  </si>
  <si>
    <t>R.SANDHIYA (AMP)</t>
  </si>
  <si>
    <t>790535723V</t>
  </si>
  <si>
    <t>NO:72</t>
  </si>
  <si>
    <t>RS PRIYA</t>
  </si>
  <si>
    <t>R.ARUMUGAM KRISHNAKUMAR</t>
  </si>
  <si>
    <t>767599618/774006007</t>
  </si>
  <si>
    <t>963650450V</t>
  </si>
  <si>
    <t>S.LORANCE</t>
  </si>
  <si>
    <t>R.UMA JAYANTHI</t>
  </si>
  <si>
    <t>936700420V</t>
  </si>
  <si>
    <t>LAAVIN HAAKASH</t>
  </si>
  <si>
    <t>972913910V</t>
  </si>
  <si>
    <t>BALAKUMAR BALA</t>
  </si>
  <si>
    <t>871104417V</t>
  </si>
  <si>
    <t>I.SASIKALA</t>
  </si>
  <si>
    <t>778144731/742235731</t>
  </si>
  <si>
    <t>R.JEYANTHAN</t>
  </si>
  <si>
    <t>530472/517287</t>
  </si>
  <si>
    <t xml:space="preserve">P.RAJENDRAN (MALLIGAS) </t>
  </si>
  <si>
    <t>SUNDAR MALLIGAS</t>
  </si>
  <si>
    <t>ARUMUGAM MALLIGAS</t>
  </si>
  <si>
    <t>K.ULAGANATHAN</t>
  </si>
  <si>
    <t>712898913/768663351</t>
  </si>
  <si>
    <t>733513209V</t>
  </si>
  <si>
    <t>ABDHUL FARID</t>
  </si>
  <si>
    <t>774427707/774226909</t>
  </si>
  <si>
    <t>893232770V</t>
  </si>
  <si>
    <t>MOHAMAD MASHOODH</t>
  </si>
  <si>
    <t>NO:16/39/1</t>
  </si>
  <si>
    <t>923380752V</t>
  </si>
  <si>
    <t>736841541V</t>
  </si>
  <si>
    <t xml:space="preserve">M.SIRAJ    </t>
  </si>
  <si>
    <t>V.JEYASRI</t>
  </si>
  <si>
    <t>S.VIJAYAN</t>
  </si>
  <si>
    <t>831121858V</t>
  </si>
  <si>
    <t>D.SUBRAMANIYAM (INDRA TAX)</t>
  </si>
  <si>
    <t>R.SUBRAMANIYAM</t>
  </si>
  <si>
    <t>593641910X</t>
  </si>
  <si>
    <t>K.RAMESH (R.NESHANTHINI)</t>
  </si>
  <si>
    <t>751260128/712386048</t>
  </si>
  <si>
    <t xml:space="preserve">885161359V          </t>
  </si>
  <si>
    <t>B.PATHMANATHAN</t>
  </si>
  <si>
    <t>SKG.PIYARATHNA</t>
  </si>
  <si>
    <t>KOVIL SAMI (SARAVANAN)</t>
  </si>
  <si>
    <t xml:space="preserve">862844750V          </t>
  </si>
  <si>
    <t>S.STANLEY</t>
  </si>
  <si>
    <t xml:space="preserve">933080480V          </t>
  </si>
  <si>
    <t>RGN.RAJA (WHEEL)</t>
  </si>
  <si>
    <t>J.MATHIMARAN</t>
  </si>
  <si>
    <t>S.RAJESHVARI</t>
  </si>
  <si>
    <t>M.SATHYAPRIYA</t>
  </si>
  <si>
    <t>KK DHARSHINI</t>
  </si>
  <si>
    <t>R.KALIMUTHU</t>
  </si>
  <si>
    <t>S.ANJAAN</t>
  </si>
  <si>
    <t>S.KAAYAMBU</t>
  </si>
  <si>
    <t xml:space="preserve">472922424V          </t>
  </si>
  <si>
    <t>RTS.RAYAR</t>
  </si>
  <si>
    <t>A.KANAGARAJ</t>
  </si>
  <si>
    <t>NO:32/12</t>
  </si>
  <si>
    <t>KA.NISHANTH</t>
  </si>
  <si>
    <t>NO:13/3</t>
  </si>
  <si>
    <t>775115335/770663092</t>
  </si>
  <si>
    <t>705970130V</t>
  </si>
  <si>
    <t>AWN.ZAMAN</t>
  </si>
  <si>
    <t>782484117V</t>
  </si>
  <si>
    <t>R.PONNUDHURAI (PECHIMUTHU)</t>
  </si>
  <si>
    <t>770378737/775022895</t>
  </si>
  <si>
    <t xml:space="preserve">780682434V   </t>
  </si>
  <si>
    <t>K.THIRUNATHAN</t>
  </si>
  <si>
    <t>ARSHARD</t>
  </si>
  <si>
    <t>SUNDAY FAIR</t>
  </si>
  <si>
    <t>891362455V</t>
  </si>
  <si>
    <t>CHITHRA SELVAM (NODE)</t>
  </si>
  <si>
    <t>781182826X</t>
  </si>
  <si>
    <t>A.RAVI</t>
  </si>
  <si>
    <t>SATHASIVAM</t>
  </si>
  <si>
    <t>727173455V</t>
  </si>
  <si>
    <t>M.RAMARAJ</t>
  </si>
  <si>
    <t>818140312X</t>
  </si>
  <si>
    <t>G.YOGESHVARI</t>
  </si>
  <si>
    <t>743496376/767930101</t>
  </si>
  <si>
    <t>891780788V</t>
  </si>
  <si>
    <t>AFM.NIZAM</t>
  </si>
  <si>
    <t>KRISHNAN NIRAJ</t>
  </si>
  <si>
    <t>941474527V</t>
  </si>
  <si>
    <t>775837041/756127111</t>
  </si>
  <si>
    <t>P.NIRMALADHEVI</t>
  </si>
  <si>
    <t>763568143/721148210</t>
  </si>
  <si>
    <t>825201378X</t>
  </si>
  <si>
    <t>S.RAVI</t>
  </si>
  <si>
    <t>802720041X</t>
  </si>
  <si>
    <t>SAKAYAM SELVAMARY</t>
  </si>
  <si>
    <t>704353848/778103384</t>
  </si>
  <si>
    <t>980802698V</t>
  </si>
  <si>
    <t xml:space="preserve">SELLADHURAI    </t>
  </si>
  <si>
    <t>712060544/752656053</t>
  </si>
  <si>
    <t>533232434V</t>
  </si>
  <si>
    <t>J.SUSAI</t>
  </si>
  <si>
    <t>R.JEEVA</t>
  </si>
  <si>
    <t>DISPENSARY</t>
  </si>
  <si>
    <t>571133393X</t>
  </si>
  <si>
    <t>B.NAVAYOGARAJA</t>
  </si>
  <si>
    <t>871951853V</t>
  </si>
  <si>
    <t>N.SATHASIVAM (SAMUTHRA STORES)</t>
  </si>
  <si>
    <t>T.PUSHPARAJ</t>
  </si>
  <si>
    <t>769410088/769955849</t>
  </si>
  <si>
    <t>886131879V</t>
  </si>
  <si>
    <t>DHARMALINGAM JEGADHEESVARAN</t>
  </si>
  <si>
    <t xml:space="preserve">R.RAJAGOPAL    </t>
  </si>
  <si>
    <t>R.JEYANTHAKUMARI</t>
  </si>
  <si>
    <t>769622078/776336934</t>
  </si>
  <si>
    <t>P.MUNIYAPPAN</t>
  </si>
  <si>
    <t>642312464X</t>
  </si>
  <si>
    <t>75762897V</t>
  </si>
  <si>
    <t>D.VINOTH</t>
  </si>
  <si>
    <t>N.MOHANRAJ (AMARAVATHI)</t>
  </si>
  <si>
    <t>NO:211C</t>
  </si>
  <si>
    <t>775231002/779840652</t>
  </si>
  <si>
    <t>787662285X</t>
  </si>
  <si>
    <t>A.VIJI</t>
  </si>
  <si>
    <t>650443942V</t>
  </si>
  <si>
    <t>KRISHNAN LAVANYA</t>
  </si>
  <si>
    <t>985904170V</t>
  </si>
  <si>
    <t>221393/610132/654981/480510/666563/432099/638331/662315/611064/409832/660079/249362</t>
  </si>
  <si>
    <t>N.THUWAN NASARDEEN</t>
  </si>
  <si>
    <t>NO:110/2/B</t>
  </si>
  <si>
    <t>S.SULAKSHANA</t>
  </si>
  <si>
    <t>826844124V</t>
  </si>
  <si>
    <t>M.KRISHNASAMY (THAMBIRAJ)</t>
  </si>
  <si>
    <t>NO:99B</t>
  </si>
  <si>
    <t>MAIN STREET</t>
  </si>
  <si>
    <t>R.RAVEENTHIRAKUMAR</t>
  </si>
  <si>
    <t>952434071V</t>
  </si>
  <si>
    <t>N.JENITTA</t>
  </si>
  <si>
    <t>M.SIVALINGAM (SANGEETHA MAHESHAN)</t>
  </si>
  <si>
    <t>NO:13/1</t>
  </si>
  <si>
    <t>NO:92B</t>
  </si>
  <si>
    <t>K.NARAYAN KURULINGAM</t>
  </si>
  <si>
    <t>756009405/764904311</t>
  </si>
  <si>
    <t>948142040V</t>
  </si>
  <si>
    <t>K.THILAGAN</t>
  </si>
  <si>
    <t>STAR SQUARE BUILDING</t>
  </si>
  <si>
    <t>R.AVISHKAR</t>
  </si>
  <si>
    <t>NO:199/59</t>
  </si>
  <si>
    <t>P.RASALINGAM</t>
  </si>
  <si>
    <t>MOGAN</t>
  </si>
  <si>
    <t>K.RAMAKRISHNAN KANNA (NODE)</t>
  </si>
  <si>
    <t>766792845/764668466</t>
  </si>
  <si>
    <t>728860/606635</t>
  </si>
  <si>
    <t>945024634V</t>
  </si>
  <si>
    <t xml:space="preserve">S.DHAYA  </t>
  </si>
  <si>
    <t>920823610V</t>
  </si>
  <si>
    <t>T.SIVARAJ</t>
  </si>
  <si>
    <t>NO:120</t>
  </si>
  <si>
    <t>841414705V</t>
  </si>
  <si>
    <t>DP.RANJITH SAMARASINGA</t>
  </si>
  <si>
    <t>NO:30/18</t>
  </si>
  <si>
    <t>630180546V</t>
  </si>
  <si>
    <t>GANAPATHI KANAGARAJ</t>
  </si>
  <si>
    <t>717771097/761722345</t>
  </si>
  <si>
    <t>802053380V</t>
  </si>
  <si>
    <t xml:space="preserve">ARIYAGAMA </t>
  </si>
  <si>
    <t xml:space="preserve">SAMANALAGAMA </t>
  </si>
  <si>
    <t>P.MAYAVATHARAN</t>
  </si>
  <si>
    <t>K.PERINBARAJAN</t>
  </si>
  <si>
    <t>765338905/776949004</t>
  </si>
  <si>
    <t>642293770V</t>
  </si>
  <si>
    <t>M.SALALDEEN</t>
  </si>
  <si>
    <t>NO:41A</t>
  </si>
  <si>
    <t>590512753V</t>
  </si>
  <si>
    <t>DR.INDHUMATHI</t>
  </si>
  <si>
    <t>562650768V</t>
  </si>
  <si>
    <t>R.MURALIDHARAN</t>
  </si>
  <si>
    <t>NO:117A</t>
  </si>
  <si>
    <t>718229909/770331554</t>
  </si>
  <si>
    <t>833571141V</t>
  </si>
  <si>
    <t>S.ESHANI</t>
  </si>
  <si>
    <t>928434443V</t>
  </si>
  <si>
    <t>NO:44/1</t>
  </si>
  <si>
    <t>711006644/773434776</t>
  </si>
  <si>
    <t>827990540V</t>
  </si>
  <si>
    <t>MD.POONGANTHA KUMARAVELPURAM</t>
  </si>
  <si>
    <t>PATHANA</t>
  </si>
  <si>
    <t>754034610/752061370</t>
  </si>
  <si>
    <t>RANGARAJA SIVAKUMAR</t>
  </si>
  <si>
    <t>NALLASEGARAM CHANDRAMOHAN</t>
  </si>
  <si>
    <t>MUTHAIYA PUSHPARAJ</t>
  </si>
  <si>
    <t>SMR</t>
  </si>
  <si>
    <t>MUTHAIYA KUMARASAMI</t>
  </si>
  <si>
    <t>M.SHANMUGAM</t>
  </si>
  <si>
    <t>V.SASIKALA</t>
  </si>
  <si>
    <t>V.KAMALADHASAN</t>
  </si>
  <si>
    <t>SUBRAMANIYAM KOGILAMANI</t>
  </si>
  <si>
    <t>R.DHUVAN (RAJARATHNAM)</t>
  </si>
  <si>
    <t>S.LALITHA</t>
  </si>
  <si>
    <t>RAJARATHNAM SUNDHARAJ</t>
  </si>
  <si>
    <t>S.ALAGURAJA</t>
  </si>
  <si>
    <t>V.KRISHNAMENAN</t>
  </si>
  <si>
    <t>RAMAJEYAM RANJINI</t>
  </si>
  <si>
    <t>PERUMAL MAGESHVAR</t>
  </si>
  <si>
    <t>I.DIVYA</t>
  </si>
  <si>
    <t>THIYAGARAJ MADASAMI</t>
  </si>
  <si>
    <t>B.MANOPRIYA</t>
  </si>
  <si>
    <t>VELU YOGA SENTHAMIL</t>
  </si>
  <si>
    <t>A.YOGARAJ</t>
  </si>
  <si>
    <t>RAMAIYA NAGARAJA</t>
  </si>
  <si>
    <t>SRIKANTH</t>
  </si>
  <si>
    <t>S.VELLADHURAI</t>
  </si>
  <si>
    <t>KIRISHNEMOORTHY</t>
  </si>
  <si>
    <t>T.REJINAMERY</t>
  </si>
  <si>
    <t>S.SELVARAJ</t>
  </si>
  <si>
    <t>V.KIRUBAKARAN</t>
  </si>
  <si>
    <t>G.PUVANESWARAN</t>
  </si>
  <si>
    <t>VIJANTHIRAN</t>
  </si>
  <si>
    <t>PRASHANTHAN</t>
  </si>
  <si>
    <t>JEYANTHAMARY</t>
  </si>
  <si>
    <t>G.SIVARAJA</t>
  </si>
  <si>
    <t>RAMAKRISHNAN</t>
  </si>
  <si>
    <t>ARUMUGAM BALAKRISHNAN</t>
  </si>
  <si>
    <t>ARUMUGAM KRISHNAKUMAR</t>
  </si>
  <si>
    <t>PERIYASAMY MARUTHAMUTHU</t>
  </si>
  <si>
    <t>CHANDRABOSE</t>
  </si>
  <si>
    <t>S.YOGARAJA</t>
  </si>
  <si>
    <t>VIGNESHWARAN</t>
  </si>
  <si>
    <t>N.VIJAYANTHINI</t>
  </si>
  <si>
    <t>SHANMUGANATHAN</t>
  </si>
  <si>
    <t>THILAGESHVARAN</t>
  </si>
  <si>
    <t>ARUNTHATHI</t>
  </si>
  <si>
    <t>VASUGI</t>
  </si>
  <si>
    <t>VIKNEAWARAN</t>
  </si>
  <si>
    <t>SUBASHINI</t>
  </si>
  <si>
    <t>RAJASINGAM</t>
  </si>
  <si>
    <t>DEVAMOORTHY</t>
  </si>
  <si>
    <t>KAMALHM</t>
  </si>
  <si>
    <t>SURIYAGANTHI</t>
  </si>
  <si>
    <t>CHANDRAN SIVAPRAN</t>
  </si>
  <si>
    <t>RAJARATHNAM ANANTHAKALA</t>
  </si>
  <si>
    <t>768437090/766003549</t>
  </si>
  <si>
    <t>SUBRAMANIYAM MAGESHVARI</t>
  </si>
  <si>
    <t>R.ANUJA</t>
  </si>
  <si>
    <t>RAJAGOPAL</t>
  </si>
  <si>
    <t>S.MANIKKAM</t>
  </si>
  <si>
    <t>RAMU MOHAN</t>
  </si>
  <si>
    <t>SARAWANAN</t>
  </si>
  <si>
    <t>P.HARIHARAN</t>
  </si>
  <si>
    <t>S.PREMACHANDRAN</t>
  </si>
  <si>
    <t>R.KARTHIGESH</t>
  </si>
  <si>
    <t>G.PRADEEP JEEVAN</t>
  </si>
  <si>
    <t>T.SRIVALLI</t>
  </si>
  <si>
    <t>STONICLIFF</t>
  </si>
  <si>
    <t>BATHMINI</t>
  </si>
  <si>
    <t>S.LETCHUMAN</t>
  </si>
  <si>
    <t>T.SIVABALAN</t>
  </si>
  <si>
    <t>MOUNTVERNON</t>
  </si>
  <si>
    <t>T.SATHYARAJ</t>
  </si>
  <si>
    <t>R.NISHANTHAN</t>
  </si>
  <si>
    <t>B.RAMESH</t>
  </si>
  <si>
    <t>I.VARUNIYADEVI</t>
  </si>
  <si>
    <t>SIVABALAN</t>
  </si>
  <si>
    <t>D.GANASEGAR</t>
  </si>
  <si>
    <t>MOORTHI NAVIN RAJA</t>
  </si>
  <si>
    <t>RAMAN GOBISIVARAM</t>
  </si>
  <si>
    <t>PALANIYANDY CHANTHIRAMOHAN</t>
  </si>
  <si>
    <t>SINNAIYA KANNAIYA</t>
  </si>
  <si>
    <t>KRISHNAN GANTHIMATHI</t>
  </si>
  <si>
    <t>GUNA</t>
  </si>
  <si>
    <t>M.CHANDRAKALA</t>
  </si>
  <si>
    <t>SUWARNAN</t>
  </si>
  <si>
    <t>P.BALAMANI</t>
  </si>
  <si>
    <t>M.RAJARATHINAM</t>
  </si>
  <si>
    <t>K.THANUJAN</t>
  </si>
  <si>
    <t>A.PAKKIYAM</t>
  </si>
  <si>
    <t>634041/615560</t>
  </si>
  <si>
    <t>AG</t>
  </si>
  <si>
    <t>PK</t>
  </si>
  <si>
    <t>SEGAR</t>
  </si>
  <si>
    <t>GANESH</t>
  </si>
  <si>
    <t>KUMARESH</t>
  </si>
  <si>
    <t>K.KANAGARAJ</t>
  </si>
  <si>
    <t>827341711X</t>
  </si>
  <si>
    <t>MOUNT ASH VILLA</t>
  </si>
  <si>
    <t>NO:295/K/1</t>
  </si>
  <si>
    <t>BANK HOUSE ROAD</t>
  </si>
  <si>
    <t>626039/418601/460637/601156</t>
  </si>
  <si>
    <t>BOX DETAILS</t>
  </si>
  <si>
    <t>ABBOTSLIGH MANAGER</t>
  </si>
  <si>
    <t>S.ANANDHAN</t>
  </si>
  <si>
    <t>761035812/764484533</t>
  </si>
  <si>
    <t>G.GOLDSTEEBAN</t>
  </si>
  <si>
    <t>871063608V</t>
  </si>
  <si>
    <t>JEYARAM THAMILVANAN</t>
  </si>
  <si>
    <t>880895079V</t>
  </si>
  <si>
    <t>Box owners</t>
  </si>
  <si>
    <t>R.PARTHEEBAN</t>
  </si>
  <si>
    <t>776018488/779716142</t>
  </si>
  <si>
    <t>750841228V</t>
  </si>
  <si>
    <t>716124448/764327511</t>
  </si>
  <si>
    <t>SINGER PLC</t>
  </si>
  <si>
    <t>NO:175</t>
  </si>
  <si>
    <t>SP.REDDIAR (J.P)</t>
  </si>
  <si>
    <t>777452318/770672318</t>
  </si>
  <si>
    <t>821064201V</t>
  </si>
  <si>
    <t>GN.THANGAMALIGAI</t>
  </si>
  <si>
    <t xml:space="preserve">NO:44  </t>
  </si>
  <si>
    <t>N.UDAYAKUMAR</t>
  </si>
  <si>
    <t>6523301050X</t>
  </si>
  <si>
    <t>JEYAKODI SASIDHARAN</t>
  </si>
  <si>
    <t>956063426V</t>
  </si>
  <si>
    <t>743729/266430/178312</t>
  </si>
  <si>
    <t>AJM.FARMIS</t>
  </si>
  <si>
    <t>SELVARAJ JAVKAR</t>
  </si>
  <si>
    <t>742672153/778446626</t>
  </si>
  <si>
    <t>M.SELLATHURAI</t>
  </si>
  <si>
    <t>A.NEPOLIYAN (GLORIYA)</t>
  </si>
  <si>
    <t>762408856/774466976</t>
  </si>
  <si>
    <t>JUDE IVON</t>
  </si>
  <si>
    <t>763317696/769071532</t>
  </si>
  <si>
    <t>881463687V</t>
  </si>
  <si>
    <t>M.RAJA (KARTHIK)</t>
  </si>
  <si>
    <t>693652839V</t>
  </si>
  <si>
    <t>D.RAVIKUMAR</t>
  </si>
  <si>
    <t>REGAL DHUSHI</t>
  </si>
  <si>
    <t>R.MAGESHVARI</t>
  </si>
  <si>
    <t>NO:167/2</t>
  </si>
  <si>
    <t>767264895/768438892</t>
  </si>
  <si>
    <t>A.ROSHAN</t>
  </si>
  <si>
    <t>931473310V</t>
  </si>
  <si>
    <t>S.RISHANTHAN</t>
  </si>
  <si>
    <t>NO:38/2</t>
  </si>
  <si>
    <t>T.SURESH</t>
  </si>
  <si>
    <t>S.RAJENTHIRAN</t>
  </si>
  <si>
    <t>S.VIJAYASUNDHARAM</t>
  </si>
  <si>
    <t>NO:11/6A</t>
  </si>
  <si>
    <t>771054389/707095747</t>
  </si>
  <si>
    <t>M.SUBRAMANI</t>
  </si>
  <si>
    <t>310303/461270</t>
  </si>
  <si>
    <t>M.RIZMI</t>
  </si>
  <si>
    <t>NO:29/1</t>
  </si>
  <si>
    <t>755897556/712818666</t>
  </si>
  <si>
    <t>812341162V</t>
  </si>
  <si>
    <t>R.SUTHA</t>
  </si>
  <si>
    <t>E.SUNDARARAJ</t>
  </si>
  <si>
    <t>NO:16/13</t>
  </si>
  <si>
    <t>775505589/776411387</t>
  </si>
  <si>
    <t>B.DHINESH BABU</t>
  </si>
  <si>
    <t>768928437/766320737</t>
  </si>
  <si>
    <t>980502600V</t>
  </si>
  <si>
    <t>539612/519002/390115/479454</t>
  </si>
  <si>
    <t>CEB RAHIM</t>
  </si>
  <si>
    <t>GURUSAMI SARASVATHI</t>
  </si>
  <si>
    <t>846382429V</t>
  </si>
  <si>
    <t>K.VISWANATHAN</t>
  </si>
  <si>
    <t>771748114/764404561</t>
  </si>
  <si>
    <t>NO:36/5A</t>
  </si>
  <si>
    <t>FRIENDS CORNER (PAKIYARAJ)</t>
  </si>
  <si>
    <t>NO:253</t>
  </si>
  <si>
    <t xml:space="preserve">FRUTILL MALLIYAPU </t>
  </si>
  <si>
    <t>862513860V</t>
  </si>
  <si>
    <t>B.NIRANJANI</t>
  </si>
  <si>
    <t>NO:16/11A</t>
  </si>
  <si>
    <t>764741881/717737052</t>
  </si>
  <si>
    <t>673332021V</t>
  </si>
  <si>
    <t>J.SHARLIN</t>
  </si>
  <si>
    <t>769773554/771443034</t>
  </si>
  <si>
    <t>851170065V</t>
  </si>
  <si>
    <t>V.ARASARATNAM (SELVAM DRIVER)</t>
  </si>
  <si>
    <t>772091855/761426796</t>
  </si>
  <si>
    <t>761158188/760785030</t>
  </si>
  <si>
    <t>930843288V</t>
  </si>
  <si>
    <t>S.THEKUMALAI</t>
  </si>
  <si>
    <t>P.PRABU</t>
  </si>
  <si>
    <t>KRISHNAN BASS</t>
  </si>
  <si>
    <t>993281980V</t>
  </si>
  <si>
    <t>AW.BUDHIKA (GUNADHASA)</t>
  </si>
  <si>
    <t>NO:189</t>
  </si>
  <si>
    <t>MHS.SHIYAMA DEEN</t>
  </si>
  <si>
    <t>779379944/740275922</t>
  </si>
  <si>
    <t>A.DHARMARAJ</t>
  </si>
  <si>
    <t>NO:10A</t>
  </si>
  <si>
    <t>QW</t>
  </si>
  <si>
    <t>P.KAMAL</t>
  </si>
  <si>
    <t>871452806V</t>
  </si>
  <si>
    <t>T.KARTHIGESH</t>
  </si>
  <si>
    <t>765931366/761561336</t>
  </si>
  <si>
    <t>L.SELVARAJ</t>
  </si>
  <si>
    <t>FATHIMA SHAMEENA</t>
  </si>
  <si>
    <t>850273456V</t>
  </si>
  <si>
    <t>811334820V</t>
  </si>
  <si>
    <t>BIYAMAGE ARUNA LAKNIL(TIRE SHOP)</t>
  </si>
  <si>
    <t>MT.LETCHUMAN</t>
  </si>
  <si>
    <t>S.PAKIYA</t>
  </si>
  <si>
    <t>NO:108</t>
  </si>
  <si>
    <t>776216044/775757212</t>
  </si>
  <si>
    <t>857380576V</t>
  </si>
  <si>
    <t>V.CHRISTOBER</t>
  </si>
  <si>
    <t>861861732V</t>
  </si>
  <si>
    <t>714471860/758959194/714406456</t>
  </si>
  <si>
    <t>SUBRAMANI SUMATHI</t>
  </si>
  <si>
    <t>S.THAMILCHELVI</t>
  </si>
  <si>
    <t>SURESHKUMAR (A.ANNALETCHUMI)</t>
  </si>
  <si>
    <t>866283206V</t>
  </si>
  <si>
    <t xml:space="preserve">S.SUDHA   </t>
  </si>
  <si>
    <t>P.ARUNA</t>
  </si>
  <si>
    <t>825933697V</t>
  </si>
  <si>
    <t>S.NANDHAKUMARI (VENUGOPAL)</t>
  </si>
  <si>
    <t>NO:87/B</t>
  </si>
  <si>
    <t>767138169/776878936</t>
  </si>
  <si>
    <t>81673840V</t>
  </si>
  <si>
    <t>M.KANNAN</t>
  </si>
  <si>
    <t>702055739/769885223</t>
  </si>
  <si>
    <t>991263144V</t>
  </si>
  <si>
    <t>429442/878812</t>
  </si>
  <si>
    <t>S.MAGESHKUMAR</t>
  </si>
  <si>
    <t>MJF.RIZWANA</t>
  </si>
  <si>
    <t>NO:42/7</t>
  </si>
  <si>
    <t>976381327V</t>
  </si>
  <si>
    <t>M.ANWER (NODE)</t>
  </si>
  <si>
    <t>ACA.KADHAR</t>
  </si>
  <si>
    <t>NO:14B</t>
  </si>
  <si>
    <t>691263258V</t>
  </si>
  <si>
    <t>S.SASIKUMAR</t>
  </si>
  <si>
    <t>870040814V</t>
  </si>
  <si>
    <t>RUWAN ANURA KUMARA</t>
  </si>
  <si>
    <t>790192627V</t>
  </si>
  <si>
    <t>Y.PAUL</t>
  </si>
  <si>
    <t>NO:45/A</t>
  </si>
  <si>
    <t>713322920V</t>
  </si>
  <si>
    <t>P.VASUDHEVAN</t>
  </si>
  <si>
    <t>730712910V</t>
  </si>
  <si>
    <t>JEYAMOHAN</t>
  </si>
  <si>
    <t>711853243X</t>
  </si>
  <si>
    <t>860912333V</t>
  </si>
  <si>
    <t>MUNIYAPAN KALA JOTHY</t>
  </si>
  <si>
    <t>806615200V</t>
  </si>
  <si>
    <t>ISAIYAS (UC QUARTERS)</t>
  </si>
  <si>
    <t>851284583V</t>
  </si>
  <si>
    <t>ARUNACHALAM (NODE)</t>
  </si>
  <si>
    <t>VISVALINGA YOGENDRAN</t>
  </si>
  <si>
    <t>932944804V</t>
  </si>
  <si>
    <t>RAMASAMI KRISHNAVENI</t>
  </si>
  <si>
    <t>M.ROSEMARY</t>
  </si>
  <si>
    <t>NO:36/8</t>
  </si>
  <si>
    <t>556002436X</t>
  </si>
  <si>
    <t>SURESH KABILAN (NODE)</t>
  </si>
  <si>
    <t>200107904868</t>
  </si>
  <si>
    <t>K.DINESH KANNA</t>
  </si>
  <si>
    <t>NO:49/A/1/1</t>
  </si>
  <si>
    <t>T.THAVASEELAN</t>
  </si>
  <si>
    <t>938274061V</t>
  </si>
  <si>
    <t>MRS.P.RANJANI GUNASINGAM</t>
  </si>
  <si>
    <t>NO:84/1</t>
  </si>
  <si>
    <t>580303/712623</t>
  </si>
  <si>
    <t>G.RAJARATHNAM</t>
  </si>
  <si>
    <t>742103200V</t>
  </si>
  <si>
    <t>4040003/1150023</t>
  </si>
  <si>
    <t>N.PRAVEENA (CHANDRAKUMARY)</t>
  </si>
  <si>
    <t>705333424/774770976</t>
  </si>
  <si>
    <t>R.GAJENDRAKUMAR</t>
  </si>
  <si>
    <t>NO:19/41</t>
  </si>
  <si>
    <t>820363965V</t>
  </si>
  <si>
    <t>NO::75</t>
  </si>
  <si>
    <t>G.SHANMUGA SUNDHARAM</t>
  </si>
  <si>
    <t>NO:213</t>
  </si>
  <si>
    <t>843170757V</t>
  </si>
  <si>
    <t>S.BALAVIGNESH</t>
  </si>
  <si>
    <t>601620081V</t>
  </si>
  <si>
    <t>822092306V</t>
  </si>
  <si>
    <t>530642763V</t>
  </si>
  <si>
    <t>R.KRISHNAMOORTHY</t>
  </si>
  <si>
    <t>671972155X</t>
  </si>
  <si>
    <t>748290559V</t>
  </si>
  <si>
    <t>SE</t>
  </si>
  <si>
    <t>P.YOGARAJ</t>
  </si>
  <si>
    <t>S.AMALANADHAN</t>
  </si>
  <si>
    <t>BILLING GROUP</t>
  </si>
  <si>
    <t>ADDRESS</t>
  </si>
  <si>
    <t>AGGREMENT NUMBER</t>
  </si>
  <si>
    <t xml:space="preserve">  PHONE NUMBER</t>
  </si>
  <si>
    <t>CONTRACTDATE</t>
  </si>
  <si>
    <t xml:space="preserve"> NAME</t>
  </si>
  <si>
    <t xml:space="preserve">PHONE </t>
  </si>
  <si>
    <t>NO OF CONNECTION</t>
  </si>
  <si>
    <t>HATTON</t>
  </si>
  <si>
    <t>AREA</t>
  </si>
  <si>
    <t>BILLING DATE CYCLE</t>
  </si>
  <si>
    <t>billing_start</t>
  </si>
  <si>
    <t>billing_end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</si>
</sst>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6"/>
      <color theme="1"/>
      <name val="Amasis MT Pro Black"/>
      <family val="1"/>
    </font>
    <font>
      <b/>
      <i/>
      <u/>
      <sz val="16"/>
      <name val="Amasis MT Pro Black"/>
      <family val="1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SimSun-ExtG"/>
      <family val="3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SimSun-ExtG"/>
      <family val="3"/>
    </font>
    <font>
      <sz val="20"/>
      <color theme="1"/>
      <name val="Segoe UI Black"/>
      <family val="2"/>
    </font>
    <font>
      <b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u/>
      <sz val="9"/>
      <name val="Amasis MT Pro Black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99"/>
        <bgColor indexed="64"/>
      </patternFill>
    </fill>
  </fills>
  <borders count="39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FF0000"/>
      </top>
      <bottom style="double">
        <color rgb="FFFF0000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 style="thin">
        <color rgb="FFFF0000"/>
      </top>
      <bottom style="double">
        <color rgb="FFFF0000"/>
      </bottom>
      <diagonal/>
    </border>
    <border>
      <left style="thick">
        <color rgb="FFFF99CC"/>
      </left>
      <right style="thick">
        <color rgb="FFFF99CC"/>
      </right>
      <top style="thick">
        <color rgb="FFFF99CC"/>
      </top>
      <bottom style="thick">
        <color rgb="FFFF99CC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ck">
        <color rgb="FFFF99CC"/>
      </left>
      <right style="thick">
        <color theme="1" tint="4.9989318521683403E-2"/>
      </right>
      <top style="thick">
        <color rgb="FFFF99CC"/>
      </top>
      <bottom style="thick">
        <color rgb="FFFF99CC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rgb="FFFF99CC"/>
      </left>
      <right/>
      <top style="thick">
        <color rgb="FFFF99CC"/>
      </top>
      <bottom style="thick">
        <color rgb="FFFF99CC"/>
      </bottom>
      <diagonal/>
    </border>
    <border>
      <left/>
      <right style="thick">
        <color rgb="FFFF99CC"/>
      </right>
      <top style="thick">
        <color rgb="FFFF99CC"/>
      </top>
      <bottom style="thick">
        <color rgb="FFFF99CC"/>
      </bottom>
      <diagonal/>
    </border>
    <border>
      <left style="thick">
        <color rgb="FFFF99CC"/>
      </left>
      <right style="thick">
        <color rgb="FFFF99CC"/>
      </right>
      <top style="thick">
        <color rgb="FFFF99CC"/>
      </top>
      <bottom/>
      <diagonal/>
    </border>
    <border>
      <left style="thick">
        <color rgb="FFFF99CC"/>
      </left>
      <right style="thick">
        <color rgb="FFFF99CC"/>
      </right>
      <top/>
      <bottom style="thick">
        <color rgb="FFFF99CC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FF0066"/>
      </left>
      <right style="medium">
        <color rgb="FFFF0066"/>
      </right>
      <top style="medium">
        <color rgb="FFFF0066"/>
      </top>
      <bottom style="medium">
        <color rgb="FFFF0066"/>
      </bottom>
      <diagonal/>
    </border>
    <border>
      <left style="thick">
        <color rgb="FFFF99CC"/>
      </left>
      <right style="thick">
        <color theme="1" tint="4.9989318521683403E-2"/>
      </right>
      <top/>
      <bottom style="thick">
        <color rgb="FFFF99CC"/>
      </bottom>
      <diagonal/>
    </border>
    <border>
      <left style="thick">
        <color rgb="FFFF99CC"/>
      </left>
      <right style="thick">
        <color rgb="FFFF99CC"/>
      </right>
      <top style="thick">
        <color rgb="FFFF99CC"/>
      </top>
      <bottom style="medium">
        <color indexed="64"/>
      </bottom>
      <diagonal/>
    </border>
    <border>
      <left style="thick">
        <color rgb="FFFF99CC"/>
      </left>
      <right/>
      <top style="thick">
        <color rgb="FFFF99CC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 style="thick">
        <color rgb="FFFF99CC"/>
      </right>
      <top style="thick">
        <color rgb="FFFF99CC"/>
      </top>
      <bottom style="medium">
        <color indexed="64"/>
      </bottom>
      <diagonal/>
    </border>
    <border>
      <left style="thick">
        <color rgb="FFFF99CC"/>
      </left>
      <right style="thick">
        <color theme="1" tint="4.9989318521683403E-2"/>
      </right>
      <top style="thick">
        <color rgb="FFFF99CC"/>
      </top>
      <bottom style="medium">
        <color indexed="64"/>
      </bottom>
      <diagonal/>
    </border>
    <border>
      <left/>
      <right style="medium">
        <color rgb="FF0070C0"/>
      </right>
      <top style="thin">
        <color rgb="FFFF0000"/>
      </top>
      <bottom style="medium">
        <color indexed="64"/>
      </bottom>
      <diagonal/>
    </border>
    <border>
      <left style="medium">
        <color rgb="FF0070C0"/>
      </left>
      <right style="medium">
        <color rgb="FF0070C0"/>
      </right>
      <top style="thin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theme="1"/>
      </left>
      <right/>
      <top style="double">
        <color theme="1"/>
      </top>
      <bottom style="double">
        <color theme="1"/>
      </bottom>
      <diagonal/>
    </border>
    <border>
      <left/>
      <right/>
      <top style="double">
        <color theme="1"/>
      </top>
      <bottom style="double">
        <color theme="1"/>
      </bottom>
      <diagonal/>
    </border>
    <border>
      <left/>
      <right style="double">
        <color theme="1"/>
      </right>
      <top style="double">
        <color theme="1"/>
      </top>
      <bottom style="double">
        <color theme="1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22">
    <xf numFmtId="0" fontId="0" fillId="0" borderId="0" xfId="0"/>
    <xf numFmtId="0" fontId="0" fillId="0" borderId="1" xfId="0" applyBorder="1" applyAlignment="1">
      <alignment horizontal="right" vertical="top"/>
    </xf>
    <xf numFmtId="0" fontId="0" fillId="0" borderId="1" xfId="0" applyBorder="1"/>
    <xf numFmtId="0" fontId="0" fillId="0" borderId="3" xfId="0" applyBorder="1"/>
    <xf numFmtId="0" fontId="0" fillId="0" borderId="8" xfId="0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0" fillId="0" borderId="8" xfId="0" applyBorder="1"/>
    <xf numFmtId="14" fontId="0" fillId="0" borderId="8" xfId="0" applyNumberFormat="1" applyBorder="1"/>
    <xf numFmtId="14" fontId="0" fillId="0" borderId="8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0" borderId="0" xfId="0" applyFont="1"/>
    <xf numFmtId="1" fontId="0" fillId="0" borderId="10" xfId="0" applyNumberFormat="1" applyBorder="1" applyAlignment="1">
      <alignment horizontal="left"/>
    </xf>
    <xf numFmtId="0" fontId="8" fillId="0" borderId="1" xfId="0" applyFont="1" applyBorder="1"/>
    <xf numFmtId="0" fontId="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2" fillId="0" borderId="2" xfId="0" applyFont="1" applyBorder="1" applyAlignment="1">
      <alignment horizontal="left" vertical="center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right" vertical="top" wrapText="1"/>
    </xf>
    <xf numFmtId="0" fontId="1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right" vertical="top"/>
    </xf>
    <xf numFmtId="1" fontId="0" fillId="0" borderId="10" xfId="0" applyNumberFormat="1" applyBorder="1" applyAlignment="1">
      <alignment horizontal="right" vertical="top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left" vertical="top" indent="6"/>
    </xf>
    <xf numFmtId="1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 applyProtection="1">
      <alignment horizontal="center"/>
      <protection locked="0" hidden="1"/>
    </xf>
    <xf numFmtId="0" fontId="1" fillId="0" borderId="8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1" fillId="0" borderId="15" xfId="0" applyFont="1" applyBorder="1" applyAlignment="1">
      <alignment horizontal="center"/>
    </xf>
    <xf numFmtId="0" fontId="8" fillId="2" borderId="8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center"/>
    </xf>
    <xf numFmtId="164" fontId="8" fillId="2" borderId="8" xfId="1" applyFont="1" applyFill="1" applyBorder="1" applyAlignment="1">
      <alignment horizontal="left"/>
    </xf>
    <xf numFmtId="1" fontId="8" fillId="2" borderId="10" xfId="0" applyNumberFormat="1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8" fillId="0" borderId="2" xfId="0" applyFont="1" applyBorder="1"/>
    <xf numFmtId="0" fontId="12" fillId="0" borderId="8" xfId="0" applyFont="1" applyBorder="1"/>
    <xf numFmtId="0" fontId="0" fillId="0" borderId="2" xfId="0" applyBorder="1"/>
    <xf numFmtId="0" fontId="0" fillId="0" borderId="8" xfId="0" quotePrefix="1" applyBorder="1" applyAlignment="1">
      <alignment horizontal="left"/>
    </xf>
    <xf numFmtId="12" fontId="0" fillId="0" borderId="8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2" fontId="0" fillId="0" borderId="8" xfId="0" applyNumberFormat="1" applyBorder="1" applyAlignment="1">
      <alignment horizontal="left"/>
    </xf>
    <xf numFmtId="0" fontId="0" fillId="0" borderId="6" xfId="0" applyBorder="1"/>
    <xf numFmtId="0" fontId="14" fillId="0" borderId="13" xfId="0" applyFont="1" applyBorder="1" applyAlignment="1">
      <alignment horizontal="center"/>
    </xf>
    <xf numFmtId="0" fontId="16" fillId="0" borderId="18" xfId="0" applyFont="1" applyBorder="1"/>
    <xf numFmtId="0" fontId="14" fillId="0" borderId="14" xfId="0" applyFont="1" applyBorder="1"/>
    <xf numFmtId="0" fontId="14" fillId="0" borderId="8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8" xfId="0" applyFont="1" applyBorder="1"/>
    <xf numFmtId="0" fontId="14" fillId="0" borderId="7" xfId="0" applyFont="1" applyBorder="1"/>
    <xf numFmtId="0" fontId="14" fillId="0" borderId="5" xfId="0" applyFont="1" applyBorder="1"/>
    <xf numFmtId="0" fontId="12" fillId="0" borderId="16" xfId="0" applyFont="1" applyBorder="1"/>
    <xf numFmtId="0" fontId="0" fillId="0" borderId="16" xfId="0" applyBorder="1"/>
    <xf numFmtId="0" fontId="1" fillId="0" borderId="16" xfId="0" applyFont="1" applyBorder="1" applyAlignment="1">
      <alignment horizontal="center"/>
    </xf>
    <xf numFmtId="0" fontId="12" fillId="0" borderId="8" xfId="0" applyFont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7" fillId="5" borderId="11" xfId="0" applyFont="1" applyFill="1" applyBorder="1" applyAlignment="1">
      <alignment horizontal="center" vertical="top"/>
    </xf>
    <xf numFmtId="0" fontId="17" fillId="5" borderId="12" xfId="0" applyFont="1" applyFill="1" applyBorder="1" applyAlignment="1">
      <alignment horizontal="center" vertical="top"/>
    </xf>
    <xf numFmtId="0" fontId="17" fillId="5" borderId="11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0" fontId="18" fillId="6" borderId="8" xfId="0" applyFont="1" applyFill="1" applyBorder="1" applyAlignment="1">
      <alignment horizontal="center"/>
    </xf>
    <xf numFmtId="0" fontId="18" fillId="6" borderId="8" xfId="0" applyFont="1" applyFill="1" applyBorder="1" applyAlignment="1">
      <alignment horizontal="left"/>
    </xf>
    <xf numFmtId="0" fontId="1" fillId="0" borderId="20" xfId="0" applyFont="1" applyBorder="1"/>
    <xf numFmtId="0" fontId="12" fillId="0" borderId="21" xfId="0" applyFont="1" applyBorder="1" applyAlignment="1">
      <alignment horizontal="left"/>
    </xf>
    <xf numFmtId="0" fontId="13" fillId="4" borderId="22" xfId="0" applyFont="1" applyFill="1" applyBorder="1" applyAlignment="1">
      <alignment horizontal="center"/>
    </xf>
    <xf numFmtId="0" fontId="0" fillId="0" borderId="23" xfId="0" applyBorder="1"/>
    <xf numFmtId="0" fontId="0" fillId="0" borderId="20" xfId="0" applyBorder="1" applyAlignment="1">
      <alignment horizontal="left"/>
    </xf>
    <xf numFmtId="1" fontId="0" fillId="0" borderId="24" xfId="0" applyNumberFormat="1" applyBorder="1" applyAlignment="1">
      <alignment horizontal="left"/>
    </xf>
    <xf numFmtId="0" fontId="0" fillId="0" borderId="25" xfId="0" applyBorder="1" applyAlignment="1">
      <alignment horizontal="center" vertical="center"/>
    </xf>
    <xf numFmtId="0" fontId="0" fillId="0" borderId="26" xfId="0" applyBorder="1"/>
    <xf numFmtId="0" fontId="2" fillId="3" borderId="16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3" borderId="16" xfId="0" applyNumberFormat="1" applyFill="1" applyBorder="1" applyAlignment="1">
      <alignment horizontal="center"/>
    </xf>
    <xf numFmtId="1" fontId="0" fillId="3" borderId="19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/>
    <xf numFmtId="0" fontId="18" fillId="5" borderId="11" xfId="0" applyFont="1" applyFill="1" applyBorder="1" applyAlignment="1">
      <alignment horizontal="center"/>
    </xf>
    <xf numFmtId="0" fontId="18" fillId="5" borderId="11" xfId="0" applyFont="1" applyFill="1" applyBorder="1"/>
    <xf numFmtId="0" fontId="0" fillId="0" borderId="27" xfId="0" applyBorder="1"/>
    <xf numFmtId="0" fontId="0" fillId="0" borderId="27" xfId="0" applyBorder="1" applyAlignment="1">
      <alignment horizontal="center"/>
    </xf>
    <xf numFmtId="0" fontId="18" fillId="4" borderId="27" xfId="0" applyFont="1" applyFill="1" applyBorder="1" applyAlignment="1">
      <alignment horizontal="center"/>
    </xf>
    <xf numFmtId="0" fontId="18" fillId="4" borderId="27" xfId="0" applyFont="1" applyFill="1" applyBorder="1"/>
    <xf numFmtId="0" fontId="18" fillId="7" borderId="0" xfId="0" applyFont="1" applyFill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8" borderId="28" xfId="0" applyFont="1" applyFill="1" applyBorder="1" applyAlignment="1">
      <alignment horizontal="center"/>
    </xf>
    <xf numFmtId="0" fontId="9" fillId="9" borderId="27" xfId="0" applyFont="1" applyFill="1" applyBorder="1" applyAlignment="1">
      <alignment horizontal="center"/>
    </xf>
    <xf numFmtId="0" fontId="9" fillId="9" borderId="27" xfId="0" applyFont="1" applyFill="1" applyBorder="1" applyAlignment="1">
      <alignment horizontal="left"/>
    </xf>
    <xf numFmtId="14" fontId="0" fillId="0" borderId="27" xfId="0" applyNumberFormat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12" fillId="0" borderId="15" xfId="0" applyFont="1" applyBorder="1"/>
    <xf numFmtId="0" fontId="0" fillId="0" borderId="15" xfId="0" applyBorder="1"/>
    <xf numFmtId="0" fontId="0" fillId="0" borderId="15" xfId="0" applyBorder="1" applyAlignment="1">
      <alignment horizontal="center"/>
    </xf>
    <xf numFmtId="14" fontId="0" fillId="0" borderId="15" xfId="0" applyNumberFormat="1" applyBorder="1"/>
    <xf numFmtId="0" fontId="9" fillId="2" borderId="8" xfId="0" applyFont="1" applyFill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5" xfId="0" applyBorder="1" applyAlignment="1">
      <alignment horizontal="right"/>
    </xf>
    <xf numFmtId="0" fontId="14" fillId="0" borderId="8" xfId="0" applyFont="1" applyBorder="1" applyAlignment="1">
      <alignment horizontal="right"/>
    </xf>
    <xf numFmtId="0" fontId="17" fillId="5" borderId="35" xfId="0" applyFont="1" applyFill="1" applyBorder="1" applyAlignment="1">
      <alignment horizontal="center" vertical="top"/>
    </xf>
    <xf numFmtId="0" fontId="17" fillId="5" borderId="35" xfId="0" applyFont="1" applyFill="1" applyBorder="1" applyAlignment="1">
      <alignment horizontal="center"/>
    </xf>
    <xf numFmtId="0" fontId="20" fillId="9" borderId="27" xfId="0" applyFont="1" applyFill="1" applyBorder="1" applyAlignment="1">
      <alignment horizontal="center" vertical="center" wrapText="1"/>
    </xf>
    <xf numFmtId="0" fontId="19" fillId="10" borderId="0" xfId="0" applyFont="1" applyFill="1" applyAlignment="1">
      <alignment horizontal="center" vertical="center"/>
    </xf>
    <xf numFmtId="0" fontId="19" fillId="10" borderId="36" xfId="0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19" fillId="10" borderId="3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6699"/>
      <color rgb="FFFF99CC"/>
      <color rgb="FFFF0066"/>
      <color rgb="FFFFFF53"/>
      <color rgb="FF33CC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inash%20abi/OneDrive/Desktop/ASK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op Shadow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K1102"/>
  <sheetViews>
    <sheetView zoomScaleNormal="100" workbookViewId="0">
      <pane xSplit="2" ySplit="1" topLeftCell="C1019" activePane="bottomRight" state="frozen"/>
      <selection pane="topRight" activeCell="C1" sqref="C1"/>
      <selection pane="bottomLeft" activeCell="A2" sqref="A2"/>
      <selection pane="bottomRight" activeCell="C745" sqref="C745"/>
    </sheetView>
  </sheetViews>
  <sheetFormatPr defaultColWidth="9.1015625" defaultRowHeight="15" thickTop="1" thickBottom="1" x14ac:dyDescent="0.6"/>
  <cols>
    <col min="1" max="1" width="9" style="15" customWidth="1"/>
    <col min="2" max="2" width="35.3671875" style="16" customWidth="1"/>
    <col min="3" max="3" width="34.3125" style="4" customWidth="1"/>
    <col min="4" max="4" width="30.578125" style="25" customWidth="1"/>
    <col min="5" max="5" width="41.83984375" style="25" customWidth="1"/>
    <col min="6" max="6" width="29.1015625" style="4" customWidth="1"/>
    <col min="7" max="7" width="23.41796875" style="4" customWidth="1"/>
    <col min="8" max="8" width="22.15625" style="26" customWidth="1"/>
    <col min="9" max="9" width="31.15625" style="25" customWidth="1"/>
    <col min="10" max="10" width="32.3125" style="27" customWidth="1"/>
    <col min="11" max="11" width="9.1015625" style="9"/>
    <col min="12" max="16384" width="9.1015625" style="2"/>
  </cols>
  <sheetData>
    <row r="1" spans="1:11" s="14" customFormat="1" ht="21.3" thickTop="1" thickBot="1" x14ac:dyDescent="0.85">
      <c r="A1" s="36" t="s">
        <v>0</v>
      </c>
      <c r="B1" s="36" t="s">
        <v>3451</v>
      </c>
      <c r="C1" s="37" t="s">
        <v>1</v>
      </c>
      <c r="D1" s="38" t="s">
        <v>3450</v>
      </c>
      <c r="E1" s="38" t="s">
        <v>3449</v>
      </c>
      <c r="F1" s="39" t="s">
        <v>3452</v>
      </c>
      <c r="G1" s="39" t="s">
        <v>2</v>
      </c>
      <c r="H1" s="36" t="s">
        <v>1595</v>
      </c>
      <c r="I1" s="38" t="s">
        <v>3453</v>
      </c>
      <c r="J1" s="40" t="s">
        <v>4</v>
      </c>
    </row>
    <row r="2" spans="1:11" s="1" customFormat="1" ht="33.6" customHeight="1" thickTop="1" thickBot="1" x14ac:dyDescent="0.6">
      <c r="A2" s="15">
        <v>1</v>
      </c>
      <c r="B2" s="16" t="s">
        <v>2934</v>
      </c>
      <c r="C2" s="18" t="s">
        <v>5</v>
      </c>
      <c r="D2" s="19" t="s">
        <v>7</v>
      </c>
      <c r="E2" s="19" t="s">
        <v>6</v>
      </c>
      <c r="F2" s="20" t="s">
        <v>8</v>
      </c>
      <c r="G2" s="21"/>
      <c r="H2" s="22">
        <v>5</v>
      </c>
      <c r="I2" s="23"/>
      <c r="J2" s="24"/>
      <c r="K2" s="9"/>
    </row>
    <row r="3" spans="1:11" thickTop="1" thickBot="1" x14ac:dyDescent="0.6">
      <c r="A3" s="15">
        <v>2</v>
      </c>
      <c r="B3" s="17">
        <v>1150003</v>
      </c>
      <c r="C3" s="4" t="s">
        <v>9</v>
      </c>
      <c r="D3" s="25" t="s">
        <v>10</v>
      </c>
      <c r="E3" s="25" t="s">
        <v>6</v>
      </c>
      <c r="F3" s="4">
        <v>773481900</v>
      </c>
      <c r="G3" s="4">
        <v>51154</v>
      </c>
      <c r="H3" s="26">
        <v>1</v>
      </c>
    </row>
    <row r="4" spans="1:11" thickTop="1" thickBot="1" x14ac:dyDescent="0.6">
      <c r="A4" s="15">
        <v>3</v>
      </c>
      <c r="B4" s="17">
        <v>1151325</v>
      </c>
      <c r="C4" s="4" t="s">
        <v>11</v>
      </c>
      <c r="D4" s="25" t="s">
        <v>13</v>
      </c>
      <c r="E4" s="25" t="s">
        <v>12</v>
      </c>
      <c r="F4" s="4">
        <v>729049690</v>
      </c>
      <c r="G4" s="4">
        <v>459704</v>
      </c>
      <c r="H4" s="26">
        <v>1</v>
      </c>
    </row>
    <row r="5" spans="1:11" thickTop="1" thickBot="1" x14ac:dyDescent="0.6">
      <c r="A5" s="15">
        <v>4</v>
      </c>
      <c r="B5" s="17">
        <v>1150088</v>
      </c>
      <c r="C5" s="4" t="s">
        <v>14</v>
      </c>
      <c r="E5" s="25" t="s">
        <v>6</v>
      </c>
      <c r="F5" s="4">
        <v>777536535</v>
      </c>
      <c r="G5" s="4" t="s">
        <v>15</v>
      </c>
      <c r="H5" s="26">
        <v>2</v>
      </c>
      <c r="J5" s="27" t="s">
        <v>16</v>
      </c>
    </row>
    <row r="6" spans="1:11" thickTop="1" thickBot="1" x14ac:dyDescent="0.6">
      <c r="A6" s="15">
        <v>5</v>
      </c>
      <c r="B6" s="16">
        <v>1151479</v>
      </c>
      <c r="C6" s="4" t="s">
        <v>2982</v>
      </c>
      <c r="D6" s="25" t="s">
        <v>250</v>
      </c>
      <c r="E6" s="25" t="s">
        <v>17</v>
      </c>
      <c r="F6" s="4">
        <v>772634189</v>
      </c>
      <c r="G6" s="4">
        <v>632615</v>
      </c>
      <c r="H6" s="26">
        <v>1</v>
      </c>
      <c r="I6" s="28">
        <v>45763</v>
      </c>
      <c r="J6" s="27">
        <v>198235401830</v>
      </c>
    </row>
    <row r="7" spans="1:11" thickTop="1" thickBot="1" x14ac:dyDescent="0.6">
      <c r="A7" s="15">
        <v>6</v>
      </c>
      <c r="B7" s="17">
        <v>1150944</v>
      </c>
      <c r="C7" s="4" t="s">
        <v>18</v>
      </c>
      <c r="D7" s="25" t="s">
        <v>19</v>
      </c>
      <c r="E7" s="25" t="s">
        <v>17</v>
      </c>
      <c r="F7" s="4">
        <v>766879035</v>
      </c>
      <c r="G7" s="4">
        <v>220874</v>
      </c>
      <c r="H7" s="26">
        <v>1</v>
      </c>
      <c r="I7" s="28">
        <v>45581</v>
      </c>
      <c r="J7" s="27" t="s">
        <v>20</v>
      </c>
    </row>
    <row r="8" spans="1:11" thickTop="1" thickBot="1" x14ac:dyDescent="0.6">
      <c r="A8" s="15">
        <v>7</v>
      </c>
      <c r="B8" s="17">
        <v>1150848</v>
      </c>
      <c r="C8" s="4" t="s">
        <v>21</v>
      </c>
      <c r="D8" s="25" t="s">
        <v>22</v>
      </c>
      <c r="E8" s="25" t="s">
        <v>17</v>
      </c>
      <c r="F8" s="4">
        <v>770080231</v>
      </c>
      <c r="G8" s="4">
        <v>291511</v>
      </c>
      <c r="H8" s="26">
        <v>1</v>
      </c>
      <c r="I8" s="28">
        <v>45561</v>
      </c>
    </row>
    <row r="9" spans="1:11" thickTop="1" thickBot="1" x14ac:dyDescent="0.6">
      <c r="A9" s="15">
        <v>8</v>
      </c>
      <c r="B9" s="17">
        <v>1150505</v>
      </c>
      <c r="C9" s="4" t="s">
        <v>1596</v>
      </c>
      <c r="D9" s="25" t="s">
        <v>1571</v>
      </c>
      <c r="E9" s="25" t="s">
        <v>50</v>
      </c>
      <c r="F9" s="4" t="s">
        <v>1597</v>
      </c>
      <c r="G9" s="4">
        <v>34440</v>
      </c>
      <c r="H9" s="26">
        <v>1</v>
      </c>
      <c r="I9" s="28">
        <v>45203</v>
      </c>
    </row>
    <row r="10" spans="1:11" thickTop="1" thickBot="1" x14ac:dyDescent="0.6">
      <c r="A10" s="15">
        <v>9</v>
      </c>
      <c r="B10" s="17">
        <v>1150023</v>
      </c>
      <c r="C10" s="4" t="s">
        <v>1598</v>
      </c>
      <c r="D10" s="25" t="s">
        <v>267</v>
      </c>
      <c r="E10" s="25" t="s">
        <v>24</v>
      </c>
      <c r="F10" s="4">
        <v>770437777</v>
      </c>
      <c r="H10" s="26">
        <v>1</v>
      </c>
      <c r="J10" s="27" t="s">
        <v>25</v>
      </c>
    </row>
    <row r="11" spans="1:11" thickTop="1" thickBot="1" x14ac:dyDescent="0.6">
      <c r="A11" s="15">
        <v>10</v>
      </c>
      <c r="B11" s="17">
        <v>1150025</v>
      </c>
      <c r="C11" s="4" t="s">
        <v>26</v>
      </c>
      <c r="D11" s="25" t="s">
        <v>27</v>
      </c>
      <c r="E11" s="25" t="s">
        <v>24</v>
      </c>
      <c r="F11" s="4">
        <v>775934701</v>
      </c>
      <c r="G11" s="4">
        <v>232574</v>
      </c>
      <c r="H11" s="26">
        <v>1</v>
      </c>
      <c r="J11" s="27" t="s">
        <v>28</v>
      </c>
    </row>
    <row r="12" spans="1:11" thickTop="1" thickBot="1" x14ac:dyDescent="0.6">
      <c r="A12" s="15">
        <v>11</v>
      </c>
      <c r="B12" s="17">
        <v>1150199</v>
      </c>
      <c r="C12" s="4" t="s">
        <v>29</v>
      </c>
      <c r="E12" s="25" t="s">
        <v>30</v>
      </c>
      <c r="F12" s="4">
        <v>771634193</v>
      </c>
      <c r="G12" s="4" t="s">
        <v>2992</v>
      </c>
      <c r="H12" s="26">
        <v>2</v>
      </c>
      <c r="I12" s="28">
        <v>45765</v>
      </c>
    </row>
    <row r="13" spans="1:11" thickTop="1" thickBot="1" x14ac:dyDescent="0.6">
      <c r="A13" s="15">
        <v>12</v>
      </c>
      <c r="B13" s="17">
        <v>1150596</v>
      </c>
      <c r="C13" s="4" t="s">
        <v>31</v>
      </c>
      <c r="D13" s="25" t="s">
        <v>32</v>
      </c>
      <c r="E13" s="25" t="s">
        <v>17</v>
      </c>
      <c r="F13" s="4">
        <v>776208315</v>
      </c>
      <c r="G13" s="4">
        <v>127392</v>
      </c>
      <c r="H13" s="26">
        <v>1</v>
      </c>
      <c r="I13" s="28">
        <v>45298</v>
      </c>
      <c r="J13" s="27" t="s">
        <v>33</v>
      </c>
    </row>
    <row r="14" spans="1:11" thickTop="1" thickBot="1" x14ac:dyDescent="0.6">
      <c r="A14" s="15">
        <v>13</v>
      </c>
      <c r="C14" s="4" t="s">
        <v>34</v>
      </c>
      <c r="D14" s="25" t="s">
        <v>35</v>
      </c>
      <c r="E14" s="25" t="s">
        <v>30</v>
      </c>
      <c r="F14" s="4">
        <v>512225647</v>
      </c>
      <c r="H14" s="26">
        <v>1</v>
      </c>
    </row>
    <row r="15" spans="1:11" thickTop="1" thickBot="1" x14ac:dyDescent="0.6">
      <c r="A15" s="15">
        <v>14</v>
      </c>
      <c r="C15" s="4" t="s">
        <v>36</v>
      </c>
      <c r="E15" s="25" t="s">
        <v>17</v>
      </c>
      <c r="F15" s="4">
        <v>772645925</v>
      </c>
      <c r="H15" s="26">
        <v>1</v>
      </c>
    </row>
    <row r="16" spans="1:11" thickTop="1" thickBot="1" x14ac:dyDescent="0.6">
      <c r="A16" s="15">
        <v>15</v>
      </c>
      <c r="B16" s="17">
        <v>1150968</v>
      </c>
      <c r="C16" s="4" t="s">
        <v>37</v>
      </c>
      <c r="D16" s="25" t="s">
        <v>38</v>
      </c>
      <c r="E16" s="25" t="s">
        <v>17</v>
      </c>
      <c r="F16" s="4">
        <v>777715268</v>
      </c>
      <c r="G16" s="4">
        <v>265135</v>
      </c>
      <c r="H16" s="26">
        <v>1</v>
      </c>
      <c r="I16" s="28">
        <v>45588</v>
      </c>
      <c r="J16" s="27">
        <v>196384503851</v>
      </c>
    </row>
    <row r="17" spans="1:10" thickTop="1" thickBot="1" x14ac:dyDescent="0.6">
      <c r="A17" s="15">
        <v>16</v>
      </c>
      <c r="B17" s="17">
        <v>1151074</v>
      </c>
      <c r="C17" s="4" t="s">
        <v>1572</v>
      </c>
      <c r="D17" s="25" t="s">
        <v>1422</v>
      </c>
      <c r="E17" s="25" t="s">
        <v>238</v>
      </c>
      <c r="F17" s="4" t="s">
        <v>1573</v>
      </c>
      <c r="G17" s="4">
        <v>95300</v>
      </c>
      <c r="H17" s="26">
        <v>1</v>
      </c>
      <c r="I17" s="28">
        <v>45601</v>
      </c>
    </row>
    <row r="18" spans="1:10" thickTop="1" thickBot="1" x14ac:dyDescent="0.6">
      <c r="A18" s="15">
        <v>17</v>
      </c>
      <c r="B18" s="17">
        <v>1150509</v>
      </c>
      <c r="C18" s="4" t="s">
        <v>1574</v>
      </c>
      <c r="D18" s="25" t="s">
        <v>1422</v>
      </c>
      <c r="E18" s="25" t="s">
        <v>23</v>
      </c>
      <c r="F18" s="4" t="s">
        <v>1575</v>
      </c>
      <c r="G18" s="4">
        <v>112667</v>
      </c>
      <c r="H18" s="26">
        <v>1</v>
      </c>
      <c r="I18" s="28"/>
    </row>
    <row r="19" spans="1:10" thickTop="1" thickBot="1" x14ac:dyDescent="0.6">
      <c r="A19" s="15">
        <v>18</v>
      </c>
      <c r="B19" s="17">
        <v>1150964</v>
      </c>
      <c r="C19" s="4" t="s">
        <v>40</v>
      </c>
      <c r="D19" s="25" t="s">
        <v>41</v>
      </c>
      <c r="E19" s="25" t="s">
        <v>17</v>
      </c>
      <c r="F19" s="4">
        <v>714482149</v>
      </c>
      <c r="G19" s="4">
        <v>274087</v>
      </c>
      <c r="H19" s="26">
        <v>1</v>
      </c>
      <c r="I19" s="28">
        <v>45586</v>
      </c>
    </row>
    <row r="20" spans="1:10" thickTop="1" thickBot="1" x14ac:dyDescent="0.6">
      <c r="A20" s="15">
        <v>19</v>
      </c>
      <c r="B20" s="16">
        <v>1150315</v>
      </c>
      <c r="C20" s="4" t="s">
        <v>1576</v>
      </c>
      <c r="D20" s="25" t="s">
        <v>1577</v>
      </c>
      <c r="E20" s="25" t="s">
        <v>23</v>
      </c>
      <c r="F20" s="4" t="s">
        <v>1599</v>
      </c>
      <c r="G20" s="4">
        <v>665867</v>
      </c>
      <c r="H20" s="26">
        <v>1</v>
      </c>
      <c r="I20" s="28">
        <v>45130</v>
      </c>
    </row>
    <row r="21" spans="1:10" thickTop="1" thickBot="1" x14ac:dyDescent="0.6">
      <c r="A21" s="15">
        <v>20</v>
      </c>
      <c r="B21" s="17">
        <v>1151061</v>
      </c>
      <c r="C21" s="4" t="s">
        <v>1600</v>
      </c>
      <c r="D21" s="25" t="s">
        <v>44</v>
      </c>
      <c r="E21" s="25" t="s">
        <v>43</v>
      </c>
      <c r="F21" s="4">
        <v>716584622</v>
      </c>
      <c r="G21" s="4">
        <v>245822</v>
      </c>
      <c r="H21" s="26">
        <v>1</v>
      </c>
      <c r="I21" s="28">
        <v>45601</v>
      </c>
      <c r="J21" s="27" t="s">
        <v>45</v>
      </c>
    </row>
    <row r="22" spans="1:10" thickTop="1" thickBot="1" x14ac:dyDescent="0.6">
      <c r="A22" s="15">
        <v>21</v>
      </c>
      <c r="B22" s="17">
        <v>1150748</v>
      </c>
      <c r="C22" s="4" t="s">
        <v>46</v>
      </c>
      <c r="D22" s="25" t="s">
        <v>47</v>
      </c>
      <c r="E22" s="25" t="s">
        <v>17</v>
      </c>
      <c r="F22" s="4" t="s">
        <v>48</v>
      </c>
      <c r="G22" s="4" t="str">
        <f>"0"&amp;91572</f>
        <v>091572</v>
      </c>
      <c r="H22" s="26">
        <v>1</v>
      </c>
      <c r="I22" s="28">
        <v>45496</v>
      </c>
      <c r="J22" s="27" t="s">
        <v>49</v>
      </c>
    </row>
    <row r="23" spans="1:10" thickTop="1" thickBot="1" x14ac:dyDescent="0.6">
      <c r="A23" s="15">
        <v>22</v>
      </c>
      <c r="B23" s="16">
        <v>1150279</v>
      </c>
      <c r="C23" s="4" t="s">
        <v>1578</v>
      </c>
      <c r="D23" s="25" t="s">
        <v>1494</v>
      </c>
      <c r="E23" s="25" t="s">
        <v>43</v>
      </c>
      <c r="F23" s="4" t="s">
        <v>1601</v>
      </c>
      <c r="G23" s="4">
        <v>324644</v>
      </c>
      <c r="H23" s="26">
        <v>1</v>
      </c>
      <c r="I23" s="28"/>
    </row>
    <row r="24" spans="1:10" thickTop="1" thickBot="1" x14ac:dyDescent="0.6">
      <c r="A24" s="15">
        <v>23</v>
      </c>
      <c r="B24" s="17">
        <v>1150999</v>
      </c>
      <c r="C24" s="4" t="s">
        <v>51</v>
      </c>
      <c r="D24" s="25" t="s">
        <v>53</v>
      </c>
      <c r="E24" s="25" t="s">
        <v>52</v>
      </c>
      <c r="F24" s="4" t="s">
        <v>54</v>
      </c>
      <c r="G24" s="4">
        <v>320252</v>
      </c>
      <c r="H24" s="26">
        <v>1</v>
      </c>
      <c r="I24" s="28">
        <v>45591</v>
      </c>
      <c r="J24" s="27" t="s">
        <v>55</v>
      </c>
    </row>
    <row r="25" spans="1:10" thickTop="1" thickBot="1" x14ac:dyDescent="0.6">
      <c r="A25" s="15">
        <v>24</v>
      </c>
      <c r="B25" s="17">
        <v>1150588</v>
      </c>
      <c r="C25" s="4" t="s">
        <v>56</v>
      </c>
      <c r="D25" s="25" t="s">
        <v>58</v>
      </c>
      <c r="E25" s="25" t="s">
        <v>57</v>
      </c>
      <c r="F25" s="4">
        <v>716464058</v>
      </c>
      <c r="G25" s="4">
        <v>143498</v>
      </c>
      <c r="H25" s="26">
        <v>1</v>
      </c>
      <c r="I25" s="28">
        <v>45294</v>
      </c>
      <c r="J25" s="27" t="s">
        <v>59</v>
      </c>
    </row>
    <row r="26" spans="1:10" thickTop="1" thickBot="1" x14ac:dyDescent="0.6">
      <c r="A26" s="15">
        <v>25</v>
      </c>
      <c r="B26" s="17">
        <v>1150133</v>
      </c>
      <c r="C26" s="4" t="s">
        <v>60</v>
      </c>
      <c r="E26" s="25" t="s">
        <v>23</v>
      </c>
      <c r="F26" s="4">
        <v>713515100</v>
      </c>
      <c r="G26" s="4">
        <v>276787</v>
      </c>
      <c r="H26" s="26">
        <v>1</v>
      </c>
      <c r="I26" s="28">
        <v>44329</v>
      </c>
      <c r="J26" s="27" t="s">
        <v>61</v>
      </c>
    </row>
    <row r="27" spans="1:10" thickTop="1" thickBot="1" x14ac:dyDescent="0.6">
      <c r="A27" s="15">
        <v>26</v>
      </c>
      <c r="B27" s="17">
        <v>1150997</v>
      </c>
      <c r="C27" s="4" t="s">
        <v>62</v>
      </c>
      <c r="D27" s="25" t="s">
        <v>64</v>
      </c>
      <c r="E27" s="25" t="s">
        <v>63</v>
      </c>
      <c r="F27" s="4">
        <v>779702193</v>
      </c>
      <c r="G27" s="4">
        <v>306061</v>
      </c>
      <c r="H27" s="26">
        <v>1</v>
      </c>
      <c r="I27" s="28">
        <v>45591</v>
      </c>
      <c r="J27" s="27">
        <v>195807903290</v>
      </c>
    </row>
    <row r="28" spans="1:10" thickTop="1" thickBot="1" x14ac:dyDescent="0.6">
      <c r="A28" s="15">
        <v>27</v>
      </c>
      <c r="B28" s="16">
        <v>1151534</v>
      </c>
      <c r="C28" s="4" t="s">
        <v>65</v>
      </c>
      <c r="D28" s="25" t="s">
        <v>66</v>
      </c>
      <c r="E28" s="25" t="s">
        <v>63</v>
      </c>
      <c r="F28" s="4">
        <v>718396848</v>
      </c>
      <c r="G28" s="4">
        <v>120852</v>
      </c>
      <c r="H28" s="26">
        <v>1</v>
      </c>
      <c r="I28" s="28"/>
    </row>
    <row r="29" spans="1:10" thickTop="1" thickBot="1" x14ac:dyDescent="0.6">
      <c r="A29" s="15">
        <v>28</v>
      </c>
      <c r="B29" s="17">
        <v>1150513</v>
      </c>
      <c r="C29" s="4" t="s">
        <v>1579</v>
      </c>
      <c r="D29" s="25" t="s">
        <v>1570</v>
      </c>
      <c r="E29" s="25" t="s">
        <v>23</v>
      </c>
      <c r="F29" s="4">
        <v>775871249</v>
      </c>
      <c r="G29" s="4">
        <v>148315</v>
      </c>
      <c r="H29" s="26">
        <v>1</v>
      </c>
      <c r="I29" s="28">
        <v>45218</v>
      </c>
    </row>
    <row r="30" spans="1:10" thickTop="1" thickBot="1" x14ac:dyDescent="0.6">
      <c r="A30" s="15">
        <v>29</v>
      </c>
      <c r="B30" s="17">
        <v>1150514</v>
      </c>
      <c r="C30" s="4" t="s">
        <v>1580</v>
      </c>
      <c r="D30" s="25" t="s">
        <v>1581</v>
      </c>
      <c r="E30" s="25" t="s">
        <v>249</v>
      </c>
      <c r="F30" s="4">
        <v>774083007</v>
      </c>
      <c r="G30" s="4">
        <v>119522</v>
      </c>
      <c r="H30" s="26">
        <v>1</v>
      </c>
      <c r="I30" s="28">
        <v>45218</v>
      </c>
    </row>
    <row r="31" spans="1:10" thickTop="1" thickBot="1" x14ac:dyDescent="0.6">
      <c r="A31" s="15">
        <v>30</v>
      </c>
      <c r="B31" s="17">
        <v>1150517</v>
      </c>
      <c r="C31" s="4" t="s">
        <v>1582</v>
      </c>
      <c r="D31" s="25" t="s">
        <v>1583</v>
      </c>
      <c r="E31" s="25" t="s">
        <v>50</v>
      </c>
      <c r="F31" s="4">
        <v>773848617</v>
      </c>
      <c r="G31" s="4">
        <v>111362</v>
      </c>
      <c r="H31" s="26">
        <v>1</v>
      </c>
      <c r="I31" s="28">
        <v>45222</v>
      </c>
    </row>
    <row r="32" spans="1:10" thickTop="1" thickBot="1" x14ac:dyDescent="0.6">
      <c r="A32" s="15">
        <v>31</v>
      </c>
      <c r="B32" s="16">
        <v>1150026</v>
      </c>
      <c r="C32" s="4" t="s">
        <v>68</v>
      </c>
      <c r="D32" s="25" t="s">
        <v>69</v>
      </c>
      <c r="E32" s="25" t="s">
        <v>63</v>
      </c>
      <c r="F32" s="4" t="s">
        <v>70</v>
      </c>
      <c r="G32" s="4">
        <v>493035</v>
      </c>
      <c r="H32" s="26">
        <v>1</v>
      </c>
    </row>
    <row r="33" spans="1:10" thickTop="1" thickBot="1" x14ac:dyDescent="0.6">
      <c r="A33" s="15">
        <v>32</v>
      </c>
      <c r="B33" s="17">
        <v>1150612</v>
      </c>
      <c r="C33" s="4" t="s">
        <v>71</v>
      </c>
      <c r="D33" s="25" t="s">
        <v>72</v>
      </c>
      <c r="E33" s="25" t="s">
        <v>63</v>
      </c>
      <c r="F33" s="4">
        <v>512222392</v>
      </c>
      <c r="G33" s="4" t="str">
        <f>"0"&amp;87406</f>
        <v>087406</v>
      </c>
      <c r="H33" s="26">
        <v>1</v>
      </c>
      <c r="I33" s="28">
        <v>45307</v>
      </c>
      <c r="J33" s="27">
        <v>196550900312</v>
      </c>
    </row>
    <row r="34" spans="1:10" thickTop="1" thickBot="1" x14ac:dyDescent="0.6">
      <c r="A34" s="15">
        <v>33</v>
      </c>
      <c r="B34" s="17">
        <v>1150044</v>
      </c>
      <c r="C34" s="4" t="s">
        <v>1602</v>
      </c>
      <c r="D34" s="25" t="s">
        <v>399</v>
      </c>
      <c r="E34" s="25" t="s">
        <v>78</v>
      </c>
      <c r="F34" s="4">
        <v>776009120</v>
      </c>
      <c r="G34" s="4">
        <v>563549</v>
      </c>
      <c r="H34" s="26">
        <v>1</v>
      </c>
    </row>
    <row r="35" spans="1:10" thickTop="1" thickBot="1" x14ac:dyDescent="0.6">
      <c r="A35" s="15">
        <v>34</v>
      </c>
      <c r="B35" s="17">
        <v>1150794</v>
      </c>
      <c r="C35" s="4" t="s">
        <v>73</v>
      </c>
      <c r="D35" s="25" t="s">
        <v>74</v>
      </c>
      <c r="E35" s="25" t="s">
        <v>63</v>
      </c>
      <c r="F35" s="4" t="s">
        <v>75</v>
      </c>
      <c r="G35" s="4" t="str">
        <f>"0"&amp;61450</f>
        <v>061450</v>
      </c>
      <c r="H35" s="26">
        <v>1</v>
      </c>
      <c r="I35" s="28">
        <v>45531</v>
      </c>
      <c r="J35" s="27">
        <v>198079703207</v>
      </c>
    </row>
    <row r="36" spans="1:10" thickTop="1" thickBot="1" x14ac:dyDescent="0.6">
      <c r="A36" s="15">
        <v>35</v>
      </c>
      <c r="B36" s="17">
        <v>1150319</v>
      </c>
      <c r="C36" s="4" t="s">
        <v>76</v>
      </c>
      <c r="E36" s="25" t="s">
        <v>6</v>
      </c>
      <c r="F36" s="4">
        <v>778833582</v>
      </c>
      <c r="G36" s="4">
        <v>646972</v>
      </c>
      <c r="H36" s="26">
        <v>1</v>
      </c>
    </row>
    <row r="37" spans="1:10" thickTop="1" thickBot="1" x14ac:dyDescent="0.6">
      <c r="A37" s="15">
        <v>36</v>
      </c>
      <c r="B37" s="17">
        <v>1150675</v>
      </c>
      <c r="C37" s="4" t="s">
        <v>77</v>
      </c>
      <c r="D37" s="25" t="s">
        <v>79</v>
      </c>
      <c r="E37" s="25" t="s">
        <v>78</v>
      </c>
      <c r="F37" s="4">
        <v>512222913</v>
      </c>
      <c r="G37" s="4">
        <v>141674</v>
      </c>
      <c r="H37" s="26">
        <v>1</v>
      </c>
      <c r="I37" s="28">
        <v>45416</v>
      </c>
      <c r="J37" s="27" t="s">
        <v>80</v>
      </c>
    </row>
    <row r="38" spans="1:10" thickTop="1" thickBot="1" x14ac:dyDescent="0.6">
      <c r="A38" s="15">
        <v>37</v>
      </c>
      <c r="B38" s="17">
        <v>1150520</v>
      </c>
      <c r="C38" s="4" t="s">
        <v>1603</v>
      </c>
      <c r="D38" s="25" t="s">
        <v>1584</v>
      </c>
      <c r="E38" s="25" t="s">
        <v>78</v>
      </c>
      <c r="F38" s="4">
        <v>779579366</v>
      </c>
      <c r="G38" s="4">
        <v>115694</v>
      </c>
      <c r="H38" s="26">
        <v>1</v>
      </c>
    </row>
    <row r="39" spans="1:10" thickTop="1" thickBot="1" x14ac:dyDescent="0.6">
      <c r="A39" s="15">
        <v>38</v>
      </c>
      <c r="B39" s="17">
        <v>1151044</v>
      </c>
      <c r="C39" s="4" t="s">
        <v>82</v>
      </c>
      <c r="E39" s="25" t="s">
        <v>63</v>
      </c>
      <c r="F39" s="4">
        <v>777517347</v>
      </c>
      <c r="G39" s="4">
        <v>333438</v>
      </c>
      <c r="H39" s="26">
        <v>1</v>
      </c>
      <c r="I39" s="28">
        <v>45599</v>
      </c>
      <c r="J39" s="27" t="s">
        <v>83</v>
      </c>
    </row>
    <row r="40" spans="1:10" thickTop="1" thickBot="1" x14ac:dyDescent="0.6">
      <c r="A40" s="15">
        <v>39</v>
      </c>
      <c r="B40" s="17">
        <v>1150522</v>
      </c>
      <c r="C40" s="4" t="s">
        <v>1604</v>
      </c>
      <c r="E40" s="25" t="s">
        <v>23</v>
      </c>
      <c r="F40" s="4" t="s">
        <v>1585</v>
      </c>
      <c r="G40" s="4">
        <v>24599</v>
      </c>
      <c r="H40" s="26">
        <v>1</v>
      </c>
      <c r="I40" s="28">
        <v>45236</v>
      </c>
    </row>
    <row r="41" spans="1:10" thickTop="1" thickBot="1" x14ac:dyDescent="0.6">
      <c r="A41" s="15">
        <v>40</v>
      </c>
      <c r="B41" s="17">
        <v>1150468</v>
      </c>
      <c r="C41" s="4" t="s">
        <v>84</v>
      </c>
      <c r="E41" s="25" t="s">
        <v>85</v>
      </c>
      <c r="F41" s="4">
        <v>777517176</v>
      </c>
      <c r="G41" s="4">
        <v>103716</v>
      </c>
      <c r="H41" s="26">
        <v>1</v>
      </c>
      <c r="I41" s="28">
        <v>45518</v>
      </c>
      <c r="J41" s="27" t="s">
        <v>86</v>
      </c>
    </row>
    <row r="42" spans="1:10" thickTop="1" thickBot="1" x14ac:dyDescent="0.6">
      <c r="A42" s="15">
        <v>41</v>
      </c>
      <c r="B42" s="17">
        <v>1150008</v>
      </c>
      <c r="C42" s="4" t="s">
        <v>87</v>
      </c>
      <c r="E42" s="25" t="s">
        <v>6</v>
      </c>
      <c r="F42" s="4">
        <v>777073582</v>
      </c>
      <c r="G42" s="4">
        <v>499728</v>
      </c>
      <c r="H42" s="26">
        <v>1</v>
      </c>
      <c r="J42" s="27" t="s">
        <v>88</v>
      </c>
    </row>
    <row r="43" spans="1:10" thickTop="1" thickBot="1" x14ac:dyDescent="0.6">
      <c r="A43" s="15">
        <v>42</v>
      </c>
      <c r="B43" s="17">
        <v>1150904</v>
      </c>
      <c r="C43" s="4" t="s">
        <v>89</v>
      </c>
      <c r="D43" s="25" t="s">
        <v>90</v>
      </c>
      <c r="E43" s="25" t="s">
        <v>57</v>
      </c>
      <c r="F43" s="4">
        <v>704990603</v>
      </c>
      <c r="G43" s="4">
        <v>257702</v>
      </c>
      <c r="H43" s="26">
        <v>1</v>
      </c>
      <c r="I43" s="28">
        <v>45576</v>
      </c>
      <c r="J43" s="27">
        <v>200023104202</v>
      </c>
    </row>
    <row r="44" spans="1:10" thickTop="1" thickBot="1" x14ac:dyDescent="0.6">
      <c r="A44" s="15">
        <v>43</v>
      </c>
      <c r="B44" s="16">
        <v>1150307</v>
      </c>
      <c r="C44" s="4" t="s">
        <v>91</v>
      </c>
      <c r="E44" s="25" t="s">
        <v>57</v>
      </c>
      <c r="F44" s="4">
        <v>777747958</v>
      </c>
      <c r="G44" s="4">
        <v>221858</v>
      </c>
      <c r="H44" s="26">
        <v>1</v>
      </c>
    </row>
    <row r="45" spans="1:10" thickTop="1" thickBot="1" x14ac:dyDescent="0.6">
      <c r="A45" s="15">
        <v>44</v>
      </c>
      <c r="B45" s="17">
        <v>1150526</v>
      </c>
      <c r="C45" s="4" t="s">
        <v>1586</v>
      </c>
      <c r="D45" s="25" t="s">
        <v>1605</v>
      </c>
      <c r="E45" s="25" t="s">
        <v>24</v>
      </c>
      <c r="F45" s="4">
        <v>774010894</v>
      </c>
      <c r="H45" s="26">
        <v>1</v>
      </c>
    </row>
    <row r="46" spans="1:10" thickTop="1" thickBot="1" x14ac:dyDescent="0.6">
      <c r="A46" s="15">
        <v>45</v>
      </c>
      <c r="B46" s="17">
        <v>1150006</v>
      </c>
      <c r="C46" s="4" t="s">
        <v>92</v>
      </c>
      <c r="E46" s="25" t="s">
        <v>63</v>
      </c>
      <c r="F46" s="4">
        <v>779910777</v>
      </c>
      <c r="G46" s="4">
        <v>596358</v>
      </c>
      <c r="H46" s="26">
        <v>1</v>
      </c>
      <c r="J46" s="27" t="s">
        <v>93</v>
      </c>
    </row>
    <row r="47" spans="1:10" thickTop="1" thickBot="1" x14ac:dyDescent="0.6">
      <c r="A47" s="15">
        <v>46</v>
      </c>
      <c r="B47" s="17">
        <v>1150065</v>
      </c>
      <c r="C47" s="4" t="s">
        <v>94</v>
      </c>
      <c r="E47" s="25" t="s">
        <v>95</v>
      </c>
      <c r="F47" s="4">
        <v>512222222</v>
      </c>
      <c r="G47" s="4">
        <v>549589</v>
      </c>
      <c r="H47" s="26">
        <v>1</v>
      </c>
    </row>
    <row r="48" spans="1:10" thickTop="1" thickBot="1" x14ac:dyDescent="0.6">
      <c r="A48" s="15">
        <v>47</v>
      </c>
      <c r="B48" s="17">
        <v>1150233</v>
      </c>
      <c r="C48" s="4" t="s">
        <v>96</v>
      </c>
      <c r="D48" s="25" t="s">
        <v>97</v>
      </c>
      <c r="E48" s="25" t="s">
        <v>6</v>
      </c>
      <c r="F48" s="4">
        <v>766793842</v>
      </c>
      <c r="G48" s="4">
        <v>763298</v>
      </c>
      <c r="H48" s="26">
        <v>1</v>
      </c>
      <c r="J48" s="27" t="s">
        <v>98</v>
      </c>
    </row>
    <row r="49" spans="1:10" thickTop="1" thickBot="1" x14ac:dyDescent="0.6">
      <c r="A49" s="15">
        <v>48</v>
      </c>
      <c r="B49" s="17">
        <v>1150558</v>
      </c>
      <c r="C49" s="4" t="s">
        <v>99</v>
      </c>
      <c r="D49" s="25" t="s">
        <v>100</v>
      </c>
      <c r="E49" s="25" t="s">
        <v>63</v>
      </c>
      <c r="F49" s="4">
        <v>716114649</v>
      </c>
      <c r="G49" s="4">
        <v>137508</v>
      </c>
      <c r="H49" s="26">
        <v>1</v>
      </c>
      <c r="I49" s="28">
        <v>45280</v>
      </c>
      <c r="J49" s="27">
        <v>196223001832</v>
      </c>
    </row>
    <row r="50" spans="1:10" thickTop="1" thickBot="1" x14ac:dyDescent="0.6">
      <c r="A50" s="15">
        <v>49</v>
      </c>
      <c r="B50" s="17">
        <v>1150551</v>
      </c>
      <c r="C50" s="4" t="s">
        <v>101</v>
      </c>
      <c r="D50" s="25" t="s">
        <v>100</v>
      </c>
      <c r="E50" s="25" t="s">
        <v>63</v>
      </c>
      <c r="F50" s="4" t="s">
        <v>102</v>
      </c>
      <c r="G50" s="4" t="str">
        <f>"0"&amp;16454</f>
        <v>016454</v>
      </c>
      <c r="H50" s="26">
        <v>1</v>
      </c>
      <c r="I50" s="28">
        <v>45278</v>
      </c>
      <c r="J50" s="27" t="s">
        <v>103</v>
      </c>
    </row>
    <row r="51" spans="1:10" thickTop="1" thickBot="1" x14ac:dyDescent="0.6">
      <c r="A51" s="15">
        <v>50</v>
      </c>
      <c r="B51" s="17">
        <v>1150527</v>
      </c>
      <c r="C51" s="4" t="s">
        <v>1587</v>
      </c>
      <c r="D51" s="25" t="s">
        <v>1588</v>
      </c>
      <c r="E51" s="25" t="s">
        <v>238</v>
      </c>
      <c r="F51" s="4" t="s">
        <v>1606</v>
      </c>
      <c r="G51" s="4">
        <v>122534</v>
      </c>
      <c r="H51" s="26">
        <v>1</v>
      </c>
      <c r="I51" s="28">
        <v>45241</v>
      </c>
    </row>
    <row r="52" spans="1:10" thickTop="1" thickBot="1" x14ac:dyDescent="0.6">
      <c r="A52" s="15">
        <v>51</v>
      </c>
      <c r="B52" s="16">
        <v>1150531</v>
      </c>
      <c r="C52" s="4" t="s">
        <v>1589</v>
      </c>
      <c r="D52" s="25" t="s">
        <v>1607</v>
      </c>
      <c r="E52" s="25" t="s">
        <v>24</v>
      </c>
      <c r="F52" s="4">
        <v>751814756</v>
      </c>
      <c r="G52" s="4">
        <v>136237</v>
      </c>
      <c r="H52" s="26">
        <v>1</v>
      </c>
      <c r="I52" s="28">
        <v>45610</v>
      </c>
    </row>
    <row r="53" spans="1:10" thickTop="1" thickBot="1" x14ac:dyDescent="0.6">
      <c r="A53" s="15">
        <v>52</v>
      </c>
      <c r="B53" s="16">
        <v>1150684</v>
      </c>
      <c r="C53" s="4" t="s">
        <v>104</v>
      </c>
      <c r="E53" s="25" t="s">
        <v>50</v>
      </c>
      <c r="F53" s="4">
        <v>777519845</v>
      </c>
      <c r="G53" s="4">
        <v>146780</v>
      </c>
      <c r="H53" s="26">
        <v>1</v>
      </c>
      <c r="I53" s="28">
        <v>45513</v>
      </c>
      <c r="J53" s="27">
        <v>197325100664</v>
      </c>
    </row>
    <row r="54" spans="1:10" thickTop="1" thickBot="1" x14ac:dyDescent="0.6">
      <c r="A54" s="15">
        <v>53</v>
      </c>
      <c r="B54" s="16">
        <v>1150535</v>
      </c>
      <c r="C54" s="4" t="s">
        <v>1608</v>
      </c>
      <c r="D54" s="25" t="s">
        <v>595</v>
      </c>
      <c r="E54" s="25" t="s">
        <v>1609</v>
      </c>
      <c r="F54" s="4">
        <v>759097723</v>
      </c>
      <c r="G54" s="4">
        <v>34291</v>
      </c>
      <c r="H54" s="26">
        <v>1</v>
      </c>
      <c r="I54" s="28">
        <v>45252</v>
      </c>
    </row>
    <row r="55" spans="1:10" thickTop="1" thickBot="1" x14ac:dyDescent="0.6">
      <c r="A55" s="15">
        <v>54</v>
      </c>
      <c r="B55" s="16">
        <v>1150538</v>
      </c>
      <c r="C55" s="4" t="s">
        <v>1590</v>
      </c>
      <c r="D55" s="25" t="s">
        <v>1591</v>
      </c>
      <c r="E55" s="25" t="s">
        <v>249</v>
      </c>
      <c r="F55" s="4" t="s">
        <v>1610</v>
      </c>
      <c r="G55" s="4">
        <v>120298</v>
      </c>
      <c r="H55" s="26">
        <v>1</v>
      </c>
      <c r="I55" s="28">
        <v>45253</v>
      </c>
    </row>
    <row r="56" spans="1:10" thickTop="1" thickBot="1" x14ac:dyDescent="0.6">
      <c r="A56" s="15">
        <v>55</v>
      </c>
      <c r="B56" s="16">
        <v>1151535</v>
      </c>
      <c r="C56" s="4" t="s">
        <v>1592</v>
      </c>
      <c r="D56" s="25" t="s">
        <v>1611</v>
      </c>
      <c r="E56" s="25" t="s">
        <v>24</v>
      </c>
      <c r="F56" s="4">
        <v>773588445</v>
      </c>
      <c r="G56" s="4">
        <v>735247</v>
      </c>
      <c r="H56" s="26">
        <v>1</v>
      </c>
    </row>
    <row r="57" spans="1:10" thickTop="1" thickBot="1" x14ac:dyDescent="0.6">
      <c r="A57" s="15">
        <v>56</v>
      </c>
      <c r="B57" s="16">
        <v>1150762</v>
      </c>
      <c r="C57" s="4" t="s">
        <v>1593</v>
      </c>
      <c r="D57" s="25" t="s">
        <v>1612</v>
      </c>
      <c r="E57" s="25" t="s">
        <v>123</v>
      </c>
      <c r="F57" s="4">
        <v>777835010</v>
      </c>
      <c r="G57" s="4">
        <v>126840</v>
      </c>
      <c r="H57" s="26">
        <v>1</v>
      </c>
      <c r="I57" s="28">
        <v>45503</v>
      </c>
    </row>
    <row r="58" spans="1:10" thickTop="1" thickBot="1" x14ac:dyDescent="0.6">
      <c r="A58" s="15">
        <v>57</v>
      </c>
      <c r="B58" s="16">
        <v>1150954</v>
      </c>
      <c r="C58" s="4" t="s">
        <v>106</v>
      </c>
      <c r="E58" s="25" t="s">
        <v>78</v>
      </c>
      <c r="F58" s="4">
        <v>777861417</v>
      </c>
      <c r="G58" s="4">
        <v>377872</v>
      </c>
      <c r="H58" s="26">
        <v>1</v>
      </c>
      <c r="I58" s="28">
        <v>45583</v>
      </c>
    </row>
    <row r="59" spans="1:10" thickTop="1" thickBot="1" x14ac:dyDescent="0.6">
      <c r="A59" s="15">
        <v>58</v>
      </c>
      <c r="B59" s="16">
        <v>1150295</v>
      </c>
      <c r="C59" s="4" t="s">
        <v>107</v>
      </c>
      <c r="D59" s="25" t="s">
        <v>108</v>
      </c>
      <c r="E59" s="25" t="s">
        <v>78</v>
      </c>
      <c r="F59" s="4">
        <v>777320298</v>
      </c>
      <c r="G59" s="4">
        <v>276696</v>
      </c>
      <c r="H59" s="26">
        <v>1</v>
      </c>
      <c r="I59" s="28">
        <v>45609</v>
      </c>
      <c r="J59" s="27">
        <v>196725910070</v>
      </c>
    </row>
    <row r="60" spans="1:10" thickTop="1" thickBot="1" x14ac:dyDescent="0.6">
      <c r="A60" s="15">
        <v>59</v>
      </c>
      <c r="B60" s="16">
        <v>1151228</v>
      </c>
      <c r="C60" s="4" t="s">
        <v>109</v>
      </c>
      <c r="D60" s="25" t="s">
        <v>110</v>
      </c>
      <c r="E60" s="25" t="s">
        <v>78</v>
      </c>
      <c r="F60" s="4">
        <v>778610196</v>
      </c>
      <c r="G60" s="4">
        <v>231145</v>
      </c>
      <c r="H60" s="26">
        <v>1</v>
      </c>
      <c r="I60" s="28">
        <v>45609</v>
      </c>
      <c r="J60" s="27" t="s">
        <v>111</v>
      </c>
    </row>
    <row r="61" spans="1:10" thickTop="1" thickBot="1" x14ac:dyDescent="0.6">
      <c r="A61" s="15">
        <v>60</v>
      </c>
      <c r="B61" s="16">
        <v>1150034</v>
      </c>
      <c r="C61" s="4" t="s">
        <v>112</v>
      </c>
      <c r="D61" s="25" t="s">
        <v>113</v>
      </c>
      <c r="E61" s="25" t="s">
        <v>50</v>
      </c>
      <c r="F61" s="4">
        <v>774048581</v>
      </c>
      <c r="G61" s="4">
        <v>602602</v>
      </c>
      <c r="H61" s="26">
        <v>1</v>
      </c>
    </row>
    <row r="62" spans="1:10" thickTop="1" thickBot="1" x14ac:dyDescent="0.6">
      <c r="A62" s="15">
        <v>61</v>
      </c>
      <c r="B62" s="16">
        <v>1151378</v>
      </c>
      <c r="C62" s="4" t="s">
        <v>2909</v>
      </c>
      <c r="D62" s="25" t="s">
        <v>420</v>
      </c>
      <c r="E62" s="25" t="s">
        <v>23</v>
      </c>
      <c r="F62" s="4">
        <v>763736686</v>
      </c>
      <c r="G62" s="4">
        <v>740178</v>
      </c>
      <c r="H62" s="26">
        <v>1</v>
      </c>
    </row>
    <row r="63" spans="1:10" thickTop="1" thickBot="1" x14ac:dyDescent="0.6">
      <c r="A63" s="15">
        <v>62</v>
      </c>
      <c r="B63" s="16">
        <v>1150125</v>
      </c>
      <c r="C63" s="4" t="s">
        <v>114</v>
      </c>
      <c r="D63" s="25" t="s">
        <v>115</v>
      </c>
      <c r="E63" s="25" t="s">
        <v>43</v>
      </c>
      <c r="F63" s="4" t="s">
        <v>116</v>
      </c>
      <c r="G63" s="4">
        <v>520069</v>
      </c>
      <c r="H63" s="26">
        <v>1</v>
      </c>
    </row>
    <row r="64" spans="1:10" thickTop="1" thickBot="1" x14ac:dyDescent="0.6">
      <c r="A64" s="15">
        <v>63</v>
      </c>
      <c r="B64" s="16">
        <v>1150452</v>
      </c>
      <c r="C64" s="4" t="s">
        <v>117</v>
      </c>
      <c r="D64" s="25" t="s">
        <v>118</v>
      </c>
      <c r="E64" s="25" t="s">
        <v>78</v>
      </c>
      <c r="F64" s="4" t="s">
        <v>119</v>
      </c>
      <c r="G64" s="4">
        <v>142805</v>
      </c>
      <c r="H64" s="26">
        <v>1</v>
      </c>
      <c r="I64" s="28">
        <v>45514</v>
      </c>
      <c r="J64" s="27" t="s">
        <v>120</v>
      </c>
    </row>
    <row r="65" spans="1:10" thickTop="1" thickBot="1" x14ac:dyDescent="0.6">
      <c r="A65" s="15">
        <v>64</v>
      </c>
      <c r="B65" s="16">
        <v>1150035</v>
      </c>
      <c r="C65" s="4" t="s">
        <v>121</v>
      </c>
      <c r="D65" s="25" t="s">
        <v>122</v>
      </c>
      <c r="E65" s="25" t="s">
        <v>50</v>
      </c>
      <c r="F65" s="4">
        <v>512222645</v>
      </c>
      <c r="G65" s="4">
        <v>575824</v>
      </c>
      <c r="H65" s="26">
        <v>1</v>
      </c>
    </row>
    <row r="66" spans="1:10" thickTop="1" thickBot="1" x14ac:dyDescent="0.6">
      <c r="A66" s="15">
        <v>65</v>
      </c>
      <c r="B66" s="16">
        <v>1151372</v>
      </c>
      <c r="C66" s="4" t="s">
        <v>2708</v>
      </c>
      <c r="D66" s="25" t="s">
        <v>2709</v>
      </c>
      <c r="E66" s="25" t="s">
        <v>78</v>
      </c>
      <c r="F66" s="4">
        <v>768751879</v>
      </c>
      <c r="G66" s="4">
        <v>605942</v>
      </c>
      <c r="H66" s="26">
        <v>1</v>
      </c>
      <c r="I66" s="28">
        <v>45697</v>
      </c>
      <c r="J66" s="27" t="s">
        <v>2710</v>
      </c>
    </row>
    <row r="67" spans="1:10" thickTop="1" thickBot="1" x14ac:dyDescent="0.6">
      <c r="A67" s="15">
        <v>66</v>
      </c>
      <c r="B67" s="16">
        <v>1151385</v>
      </c>
      <c r="C67" s="4" t="s">
        <v>2738</v>
      </c>
      <c r="D67" s="25" t="s">
        <v>2739</v>
      </c>
      <c r="E67" s="25" t="s">
        <v>43</v>
      </c>
      <c r="F67" s="4">
        <v>758883431</v>
      </c>
      <c r="G67" s="4">
        <v>533714</v>
      </c>
      <c r="H67" s="26">
        <v>1</v>
      </c>
      <c r="I67" s="28">
        <v>45706</v>
      </c>
      <c r="J67" s="27">
        <v>199303604215</v>
      </c>
    </row>
    <row r="68" spans="1:10" thickTop="1" thickBot="1" x14ac:dyDescent="0.6">
      <c r="A68" s="15">
        <v>67</v>
      </c>
      <c r="B68" s="16">
        <v>1151552</v>
      </c>
      <c r="C68" s="4" t="s">
        <v>1625</v>
      </c>
      <c r="D68" s="25" t="s">
        <v>1626</v>
      </c>
      <c r="E68" s="25" t="s">
        <v>1627</v>
      </c>
      <c r="F68" s="4">
        <v>758159869</v>
      </c>
      <c r="G68" s="4">
        <v>171853</v>
      </c>
      <c r="H68" s="26">
        <v>1</v>
      </c>
      <c r="I68" s="28">
        <v>45676</v>
      </c>
      <c r="J68" s="27" t="s">
        <v>1628</v>
      </c>
    </row>
    <row r="69" spans="1:10" thickTop="1" thickBot="1" x14ac:dyDescent="0.6">
      <c r="A69" s="15">
        <v>68</v>
      </c>
      <c r="B69" s="16">
        <v>1150576</v>
      </c>
      <c r="C69" s="4" t="s">
        <v>2905</v>
      </c>
      <c r="E69" s="25" t="s">
        <v>123</v>
      </c>
      <c r="F69" s="4">
        <v>773987776</v>
      </c>
      <c r="G69" s="4" t="str">
        <f>"0"&amp;91259</f>
        <v>091259</v>
      </c>
      <c r="H69" s="26">
        <v>1</v>
      </c>
      <c r="I69" s="28">
        <v>45288</v>
      </c>
      <c r="J69" s="27">
        <v>196509204975</v>
      </c>
    </row>
    <row r="70" spans="1:10" thickTop="1" thickBot="1" x14ac:dyDescent="0.6">
      <c r="A70" s="15">
        <v>69</v>
      </c>
      <c r="B70" s="16">
        <v>1151536</v>
      </c>
      <c r="C70" s="4" t="s">
        <v>124</v>
      </c>
      <c r="E70" s="25" t="s">
        <v>125</v>
      </c>
      <c r="F70" s="4" t="s">
        <v>126</v>
      </c>
      <c r="G70" s="4">
        <v>683603</v>
      </c>
      <c r="H70" s="26">
        <v>1</v>
      </c>
    </row>
    <row r="71" spans="1:10" thickTop="1" thickBot="1" x14ac:dyDescent="0.6">
      <c r="A71" s="15">
        <v>70</v>
      </c>
      <c r="B71" s="16">
        <v>1151390</v>
      </c>
      <c r="C71" s="4" t="s">
        <v>2741</v>
      </c>
      <c r="D71" s="25" t="s">
        <v>2742</v>
      </c>
      <c r="E71" s="25" t="s">
        <v>85</v>
      </c>
      <c r="F71" s="4">
        <v>719002055</v>
      </c>
      <c r="G71" s="4">
        <v>627417</v>
      </c>
      <c r="H71" s="26">
        <v>1</v>
      </c>
      <c r="I71" s="28">
        <v>45706</v>
      </c>
      <c r="J71" s="27" t="s">
        <v>2743</v>
      </c>
    </row>
    <row r="72" spans="1:10" thickTop="1" thickBot="1" x14ac:dyDescent="0.6">
      <c r="A72" s="15">
        <v>71</v>
      </c>
      <c r="B72" s="16">
        <v>1151396</v>
      </c>
      <c r="C72" s="4" t="s">
        <v>2752</v>
      </c>
      <c r="D72" s="25" t="s">
        <v>622</v>
      </c>
      <c r="E72" s="25" t="s">
        <v>50</v>
      </c>
      <c r="F72" s="4">
        <v>777632426</v>
      </c>
      <c r="G72" s="4">
        <v>616808</v>
      </c>
      <c r="H72" s="26">
        <v>1</v>
      </c>
      <c r="I72" s="28">
        <v>45708</v>
      </c>
      <c r="J72" s="27">
        <v>197522700406</v>
      </c>
    </row>
    <row r="73" spans="1:10" thickTop="1" thickBot="1" x14ac:dyDescent="0.6">
      <c r="A73" s="15">
        <v>72</v>
      </c>
      <c r="B73" s="16">
        <v>1150425</v>
      </c>
      <c r="C73" s="4" t="s">
        <v>2766</v>
      </c>
      <c r="D73" s="25" t="s">
        <v>2767</v>
      </c>
      <c r="E73" s="25" t="s">
        <v>125</v>
      </c>
      <c r="F73" s="4">
        <v>767725510</v>
      </c>
      <c r="G73" s="4">
        <v>128648</v>
      </c>
      <c r="H73" s="26">
        <v>1</v>
      </c>
      <c r="I73" s="28">
        <v>45226</v>
      </c>
      <c r="J73" s="27" t="s">
        <v>2768</v>
      </c>
    </row>
    <row r="74" spans="1:10" thickTop="1" thickBot="1" x14ac:dyDescent="0.6">
      <c r="A74" s="15">
        <v>73</v>
      </c>
      <c r="C74" s="4" t="s">
        <v>128</v>
      </c>
      <c r="E74" s="25" t="s">
        <v>43</v>
      </c>
      <c r="F74" s="4">
        <v>777747975</v>
      </c>
      <c r="H74" s="26">
        <v>1</v>
      </c>
    </row>
    <row r="75" spans="1:10" thickTop="1" thickBot="1" x14ac:dyDescent="0.6">
      <c r="A75" s="15">
        <v>74</v>
      </c>
      <c r="B75" s="16">
        <v>1151052</v>
      </c>
      <c r="C75" s="4" t="s">
        <v>129</v>
      </c>
      <c r="D75" s="25" t="s">
        <v>130</v>
      </c>
      <c r="E75" s="25" t="s">
        <v>24</v>
      </c>
      <c r="F75" s="4" t="s">
        <v>131</v>
      </c>
      <c r="G75" s="4">
        <v>209117</v>
      </c>
      <c r="H75" s="26">
        <v>1</v>
      </c>
      <c r="I75" s="28">
        <v>45600</v>
      </c>
      <c r="J75" s="27">
        <v>200356411856</v>
      </c>
    </row>
    <row r="76" spans="1:10" thickTop="1" thickBot="1" x14ac:dyDescent="0.6">
      <c r="A76" s="15">
        <v>75</v>
      </c>
      <c r="I76" s="28"/>
    </row>
    <row r="77" spans="1:10" thickTop="1" thickBot="1" x14ac:dyDescent="0.6">
      <c r="A77" s="15">
        <v>76</v>
      </c>
      <c r="B77" s="16">
        <v>1150580</v>
      </c>
      <c r="C77" s="4" t="s">
        <v>132</v>
      </c>
      <c r="E77" s="25" t="s">
        <v>17</v>
      </c>
      <c r="F77" s="4">
        <v>775455920</v>
      </c>
      <c r="G77" s="4">
        <v>123367</v>
      </c>
      <c r="H77" s="26">
        <v>1</v>
      </c>
      <c r="I77" s="28">
        <v>45290</v>
      </c>
      <c r="J77" s="27" t="s">
        <v>133</v>
      </c>
    </row>
    <row r="78" spans="1:10" thickTop="1" thickBot="1" x14ac:dyDescent="0.6">
      <c r="A78" s="15">
        <v>77</v>
      </c>
      <c r="B78" s="16">
        <v>1150699</v>
      </c>
      <c r="C78" s="4" t="s">
        <v>134</v>
      </c>
      <c r="E78" s="25" t="s">
        <v>135</v>
      </c>
      <c r="F78" s="4">
        <v>777533317</v>
      </c>
      <c r="G78" s="4" t="s">
        <v>1613</v>
      </c>
      <c r="H78" s="26">
        <v>1</v>
      </c>
      <c r="I78" s="28">
        <v>45464</v>
      </c>
      <c r="J78" s="27" t="s">
        <v>136</v>
      </c>
    </row>
    <row r="79" spans="1:10" thickTop="1" thickBot="1" x14ac:dyDescent="0.6">
      <c r="A79" s="15">
        <v>78</v>
      </c>
      <c r="B79" s="16">
        <v>1150312</v>
      </c>
      <c r="C79" s="4" t="s">
        <v>137</v>
      </c>
      <c r="D79" s="25" t="s">
        <v>138</v>
      </c>
      <c r="E79" s="25" t="s">
        <v>23</v>
      </c>
      <c r="F79" s="4" t="s">
        <v>139</v>
      </c>
      <c r="G79" s="4">
        <v>632808</v>
      </c>
      <c r="H79" s="26">
        <v>1</v>
      </c>
      <c r="I79" s="28">
        <v>44551</v>
      </c>
      <c r="J79" s="27" t="s">
        <v>140</v>
      </c>
    </row>
    <row r="80" spans="1:10" thickTop="1" thickBot="1" x14ac:dyDescent="0.6">
      <c r="A80" s="15">
        <v>79</v>
      </c>
      <c r="C80" s="4" t="s">
        <v>141</v>
      </c>
      <c r="E80" s="25" t="s">
        <v>52</v>
      </c>
      <c r="F80" s="4">
        <v>771471874</v>
      </c>
      <c r="H80" s="26">
        <v>1</v>
      </c>
    </row>
    <row r="81" spans="1:10" thickTop="1" thickBot="1" x14ac:dyDescent="0.6">
      <c r="A81" s="15">
        <v>80</v>
      </c>
      <c r="B81" s="16">
        <v>1150945</v>
      </c>
      <c r="C81" s="4" t="s">
        <v>142</v>
      </c>
      <c r="D81" s="25" t="s">
        <v>143</v>
      </c>
      <c r="E81" s="25" t="s">
        <v>43</v>
      </c>
      <c r="F81" s="4">
        <v>770686484</v>
      </c>
      <c r="G81" s="4">
        <v>165475</v>
      </c>
      <c r="H81" s="26">
        <v>1</v>
      </c>
      <c r="I81" s="28">
        <v>45582</v>
      </c>
      <c r="J81" s="27" t="s">
        <v>144</v>
      </c>
    </row>
    <row r="82" spans="1:10" thickTop="1" thickBot="1" x14ac:dyDescent="0.6">
      <c r="A82" s="15">
        <v>81</v>
      </c>
      <c r="B82" s="16">
        <v>1150760</v>
      </c>
      <c r="C82" s="4" t="s">
        <v>145</v>
      </c>
      <c r="D82" s="25" t="s">
        <v>146</v>
      </c>
      <c r="E82" s="25" t="s">
        <v>78</v>
      </c>
      <c r="F82" s="4">
        <v>715231753</v>
      </c>
      <c r="G82" s="4">
        <v>135445</v>
      </c>
      <c r="H82" s="26">
        <v>1</v>
      </c>
      <c r="I82" s="28">
        <v>45501</v>
      </c>
    </row>
    <row r="83" spans="1:10" thickTop="1" thickBot="1" x14ac:dyDescent="0.6">
      <c r="A83" s="15">
        <v>82</v>
      </c>
      <c r="B83" s="16">
        <v>1151376</v>
      </c>
      <c r="C83" s="4" t="s">
        <v>2910</v>
      </c>
      <c r="D83" s="25" t="s">
        <v>2911</v>
      </c>
      <c r="E83" s="25" t="s">
        <v>23</v>
      </c>
      <c r="F83" s="4">
        <v>771123414</v>
      </c>
      <c r="G83" s="4">
        <v>748130</v>
      </c>
      <c r="H83" s="26">
        <v>1</v>
      </c>
      <c r="I83" s="28">
        <v>45698</v>
      </c>
    </row>
    <row r="84" spans="1:10" thickTop="1" thickBot="1" x14ac:dyDescent="0.6">
      <c r="A84" s="15">
        <v>83</v>
      </c>
      <c r="B84" s="16">
        <v>1150673</v>
      </c>
      <c r="C84" s="4" t="s">
        <v>147</v>
      </c>
      <c r="D84" s="25" t="s">
        <v>148</v>
      </c>
      <c r="E84" s="25" t="s">
        <v>50</v>
      </c>
      <c r="F84" s="4" t="s">
        <v>1614</v>
      </c>
      <c r="G84" s="4">
        <v>111461</v>
      </c>
      <c r="H84" s="26">
        <v>1</v>
      </c>
      <c r="I84" s="28">
        <v>45459</v>
      </c>
      <c r="J84" s="27">
        <v>195810002246</v>
      </c>
    </row>
    <row r="85" spans="1:10" thickTop="1" thickBot="1" x14ac:dyDescent="0.6">
      <c r="A85" s="15">
        <v>84</v>
      </c>
      <c r="B85" s="16">
        <v>1150602</v>
      </c>
      <c r="C85" s="4" t="s">
        <v>149</v>
      </c>
      <c r="D85" s="25" t="s">
        <v>146</v>
      </c>
      <c r="E85" s="25" t="s">
        <v>78</v>
      </c>
      <c r="F85" s="4">
        <v>714871865</v>
      </c>
      <c r="G85" s="4" t="str">
        <f>"0"&amp;97041</f>
        <v>097041</v>
      </c>
      <c r="H85" s="26">
        <v>1</v>
      </c>
      <c r="I85" s="28">
        <v>45302</v>
      </c>
      <c r="J85" s="27" t="s">
        <v>150</v>
      </c>
    </row>
    <row r="86" spans="1:10" thickTop="1" thickBot="1" x14ac:dyDescent="0.6">
      <c r="A86" s="15">
        <v>85</v>
      </c>
      <c r="B86" s="16">
        <v>1151409</v>
      </c>
      <c r="C86" s="4" t="s">
        <v>2781</v>
      </c>
      <c r="D86" s="25" t="s">
        <v>2782</v>
      </c>
      <c r="E86" s="25" t="s">
        <v>6</v>
      </c>
      <c r="F86" s="4" t="s">
        <v>2783</v>
      </c>
      <c r="G86" s="4">
        <v>592181</v>
      </c>
      <c r="H86" s="26">
        <v>1</v>
      </c>
      <c r="I86" s="28">
        <v>45715</v>
      </c>
      <c r="J86" s="27">
        <v>197326401017</v>
      </c>
    </row>
    <row r="87" spans="1:10" thickTop="1" thickBot="1" x14ac:dyDescent="0.6">
      <c r="A87" s="15">
        <v>86</v>
      </c>
      <c r="B87" s="16">
        <v>1150038</v>
      </c>
      <c r="C87" s="4" t="s">
        <v>151</v>
      </c>
      <c r="D87" s="25" t="s">
        <v>152</v>
      </c>
      <c r="E87" s="25" t="s">
        <v>95</v>
      </c>
      <c r="F87" s="4" t="s">
        <v>153</v>
      </c>
      <c r="G87" s="4">
        <v>627211</v>
      </c>
      <c r="H87" s="26">
        <v>1</v>
      </c>
    </row>
    <row r="88" spans="1:10" thickTop="1" thickBot="1" x14ac:dyDescent="0.6">
      <c r="A88" s="15">
        <v>87</v>
      </c>
      <c r="B88" s="16">
        <v>1150472</v>
      </c>
      <c r="C88" s="4" t="s">
        <v>154</v>
      </c>
      <c r="D88" s="25" t="s">
        <v>155</v>
      </c>
      <c r="E88" s="25" t="s">
        <v>125</v>
      </c>
      <c r="F88" s="4">
        <v>770810082</v>
      </c>
      <c r="G88" s="4">
        <v>131568</v>
      </c>
      <c r="H88" s="26">
        <v>1</v>
      </c>
      <c r="I88" s="28">
        <v>45088</v>
      </c>
    </row>
    <row r="89" spans="1:10" thickTop="1" thickBot="1" x14ac:dyDescent="0.6">
      <c r="A89" s="15">
        <v>88</v>
      </c>
      <c r="B89" s="16">
        <v>1150436</v>
      </c>
      <c r="C89" s="4" t="s">
        <v>156</v>
      </c>
      <c r="D89" s="25" t="s">
        <v>2805</v>
      </c>
      <c r="E89" s="25" t="s">
        <v>50</v>
      </c>
      <c r="F89" s="4">
        <v>712297700</v>
      </c>
      <c r="G89" s="4">
        <v>142813</v>
      </c>
      <c r="H89" s="26">
        <v>1</v>
      </c>
      <c r="I89" s="28">
        <v>44985</v>
      </c>
      <c r="J89" s="27" t="s">
        <v>157</v>
      </c>
    </row>
    <row r="90" spans="1:10" thickTop="1" thickBot="1" x14ac:dyDescent="0.6">
      <c r="A90" s="15">
        <v>89</v>
      </c>
      <c r="B90" s="16">
        <v>1150151</v>
      </c>
      <c r="C90" s="4" t="s">
        <v>158</v>
      </c>
      <c r="D90" s="25" t="s">
        <v>159</v>
      </c>
      <c r="E90" s="25" t="s">
        <v>12</v>
      </c>
      <c r="F90" s="4">
        <v>777514440</v>
      </c>
      <c r="G90" s="4">
        <v>641337</v>
      </c>
      <c r="H90" s="26">
        <v>1</v>
      </c>
    </row>
    <row r="91" spans="1:10" thickTop="1" thickBot="1" x14ac:dyDescent="0.6">
      <c r="A91" s="15">
        <v>90</v>
      </c>
      <c r="B91" s="16">
        <v>1151355</v>
      </c>
      <c r="C91" s="4" t="s">
        <v>2912</v>
      </c>
      <c r="D91" s="25" t="s">
        <v>274</v>
      </c>
      <c r="E91" s="25" t="s">
        <v>6</v>
      </c>
      <c r="F91" s="4">
        <v>779111490</v>
      </c>
      <c r="G91" s="4">
        <v>427040</v>
      </c>
      <c r="H91" s="26">
        <v>1</v>
      </c>
      <c r="I91" s="28">
        <v>45685</v>
      </c>
    </row>
    <row r="92" spans="1:10" thickTop="1" thickBot="1" x14ac:dyDescent="0.6">
      <c r="A92" s="15">
        <v>91</v>
      </c>
      <c r="B92" s="16">
        <v>1150542</v>
      </c>
      <c r="C92" s="4" t="s">
        <v>160</v>
      </c>
      <c r="D92" s="25" t="s">
        <v>162</v>
      </c>
      <c r="E92" s="25" t="s">
        <v>161</v>
      </c>
      <c r="F92" s="4">
        <v>771842952</v>
      </c>
      <c r="G92" s="4" t="str">
        <f>"0"&amp;93883</f>
        <v>093883</v>
      </c>
      <c r="H92" s="26">
        <v>1</v>
      </c>
      <c r="I92" s="28">
        <v>45260</v>
      </c>
      <c r="J92" s="27" t="s">
        <v>163</v>
      </c>
    </row>
    <row r="93" spans="1:10" thickTop="1" thickBot="1" x14ac:dyDescent="0.6">
      <c r="A93" s="15">
        <v>92</v>
      </c>
      <c r="B93" s="16">
        <v>1150111</v>
      </c>
      <c r="C93" s="4" t="s">
        <v>164</v>
      </c>
      <c r="D93" s="25" t="s">
        <v>165</v>
      </c>
      <c r="E93" s="25" t="s">
        <v>23</v>
      </c>
      <c r="F93" s="4" t="s">
        <v>166</v>
      </c>
      <c r="G93" s="4">
        <v>724571</v>
      </c>
      <c r="H93" s="26">
        <v>1</v>
      </c>
      <c r="J93" s="27" t="s">
        <v>167</v>
      </c>
    </row>
    <row r="94" spans="1:10" thickTop="1" thickBot="1" x14ac:dyDescent="0.6">
      <c r="A94" s="15">
        <v>93</v>
      </c>
      <c r="B94" s="16">
        <v>1151083</v>
      </c>
      <c r="C94" s="4" t="s">
        <v>168</v>
      </c>
      <c r="D94" s="25" t="s">
        <v>169</v>
      </c>
      <c r="E94" s="25" t="s">
        <v>161</v>
      </c>
      <c r="F94" s="4" t="s">
        <v>170</v>
      </c>
      <c r="G94" s="4">
        <v>454226</v>
      </c>
      <c r="H94" s="26">
        <v>1</v>
      </c>
      <c r="I94" s="28">
        <v>45602</v>
      </c>
      <c r="J94" s="27">
        <v>195306902329</v>
      </c>
    </row>
    <row r="95" spans="1:10" thickTop="1" thickBot="1" x14ac:dyDescent="0.6">
      <c r="A95" s="15">
        <v>94</v>
      </c>
      <c r="B95" s="16">
        <v>1151411</v>
      </c>
      <c r="C95" s="4" t="s">
        <v>2790</v>
      </c>
      <c r="F95" s="4">
        <v>777161282</v>
      </c>
      <c r="G95" s="4" t="s">
        <v>3322</v>
      </c>
      <c r="H95" s="26">
        <v>4</v>
      </c>
      <c r="I95" s="28">
        <v>45716</v>
      </c>
    </row>
    <row r="96" spans="1:10" thickTop="1" thickBot="1" x14ac:dyDescent="0.6">
      <c r="A96" s="15">
        <v>95</v>
      </c>
      <c r="B96" s="16">
        <v>1150068</v>
      </c>
      <c r="C96" s="4" t="s">
        <v>171</v>
      </c>
      <c r="D96" s="25" t="s">
        <v>172</v>
      </c>
      <c r="E96" s="25" t="s">
        <v>63</v>
      </c>
      <c r="F96" s="4">
        <v>512222916</v>
      </c>
      <c r="G96" s="4">
        <v>498027</v>
      </c>
      <c r="H96" s="26">
        <v>1</v>
      </c>
    </row>
    <row r="97" spans="1:10" thickTop="1" thickBot="1" x14ac:dyDescent="0.6">
      <c r="A97" s="15">
        <v>96</v>
      </c>
      <c r="B97" s="16">
        <v>1150470</v>
      </c>
      <c r="C97" s="4" t="s">
        <v>173</v>
      </c>
      <c r="D97" s="25" t="s">
        <v>174</v>
      </c>
      <c r="E97" s="25" t="s">
        <v>23</v>
      </c>
      <c r="F97" s="4">
        <v>774252337</v>
      </c>
      <c r="G97" s="4">
        <v>134042</v>
      </c>
      <c r="H97" s="26">
        <v>1</v>
      </c>
      <c r="I97" s="28">
        <v>45084</v>
      </c>
      <c r="J97" s="27" t="s">
        <v>175</v>
      </c>
    </row>
    <row r="98" spans="1:10" thickTop="1" thickBot="1" x14ac:dyDescent="0.6">
      <c r="A98" s="15">
        <v>97</v>
      </c>
      <c r="B98" s="16">
        <v>1151413</v>
      </c>
      <c r="C98" s="4" t="s">
        <v>2786</v>
      </c>
      <c r="D98" s="25" t="s">
        <v>2787</v>
      </c>
      <c r="E98" s="25" t="s">
        <v>50</v>
      </c>
      <c r="F98" s="4" t="s">
        <v>2788</v>
      </c>
      <c r="G98" s="4">
        <v>402266</v>
      </c>
      <c r="H98" s="26">
        <v>1</v>
      </c>
      <c r="I98" s="28">
        <v>45719</v>
      </c>
      <c r="J98" s="27" t="s">
        <v>2789</v>
      </c>
    </row>
    <row r="99" spans="1:10" thickTop="1" thickBot="1" x14ac:dyDescent="0.6">
      <c r="A99" s="15">
        <v>98</v>
      </c>
      <c r="B99" s="16">
        <v>1151307</v>
      </c>
      <c r="C99" s="4" t="s">
        <v>177</v>
      </c>
      <c r="E99" s="25" t="s">
        <v>50</v>
      </c>
      <c r="F99" s="4">
        <v>776770497</v>
      </c>
      <c r="G99" s="4">
        <v>326044</v>
      </c>
      <c r="H99" s="26">
        <v>1</v>
      </c>
      <c r="I99" s="28">
        <v>45618</v>
      </c>
      <c r="J99" s="27" t="s">
        <v>3445</v>
      </c>
    </row>
    <row r="100" spans="1:10" thickTop="1" thickBot="1" x14ac:dyDescent="0.6">
      <c r="A100" s="15">
        <v>99</v>
      </c>
      <c r="B100" s="16">
        <v>1151416</v>
      </c>
      <c r="C100" s="4" t="s">
        <v>2792</v>
      </c>
      <c r="D100" s="25" t="s">
        <v>299</v>
      </c>
      <c r="E100" s="25" t="s">
        <v>238</v>
      </c>
      <c r="F100" s="4">
        <v>716109565</v>
      </c>
      <c r="G100" s="4">
        <v>424187</v>
      </c>
      <c r="H100" s="26">
        <v>1</v>
      </c>
      <c r="I100" s="28">
        <v>45720</v>
      </c>
      <c r="J100" s="27" t="s">
        <v>2793</v>
      </c>
    </row>
    <row r="101" spans="1:10" thickTop="1" thickBot="1" x14ac:dyDescent="0.6">
      <c r="A101" s="15">
        <v>100</v>
      </c>
      <c r="B101" s="16">
        <v>1150028</v>
      </c>
      <c r="C101" s="4" t="s">
        <v>178</v>
      </c>
      <c r="D101" s="25" t="s">
        <v>179</v>
      </c>
      <c r="E101" s="25" t="s">
        <v>63</v>
      </c>
      <c r="F101" s="4" t="s">
        <v>180</v>
      </c>
      <c r="G101" s="4">
        <v>707419</v>
      </c>
      <c r="H101" s="26">
        <v>1</v>
      </c>
      <c r="J101" s="27" t="s">
        <v>181</v>
      </c>
    </row>
    <row r="102" spans="1:10" thickTop="1" thickBot="1" x14ac:dyDescent="0.6">
      <c r="A102" s="15">
        <v>101</v>
      </c>
      <c r="B102" s="16">
        <v>1150746</v>
      </c>
      <c r="C102" s="4" t="s">
        <v>182</v>
      </c>
      <c r="D102" s="25" t="s">
        <v>183</v>
      </c>
      <c r="E102" s="25" t="s">
        <v>50</v>
      </c>
      <c r="F102" s="4">
        <v>712225451</v>
      </c>
      <c r="G102" s="4" t="str">
        <f>"0"&amp;94410</f>
        <v>094410</v>
      </c>
      <c r="H102" s="26">
        <v>1</v>
      </c>
      <c r="I102" s="28">
        <v>45493</v>
      </c>
    </row>
    <row r="103" spans="1:10" thickTop="1" thickBot="1" x14ac:dyDescent="0.6">
      <c r="A103" s="15">
        <v>102</v>
      </c>
      <c r="C103" s="4" t="s">
        <v>184</v>
      </c>
      <c r="E103" s="25" t="s">
        <v>95</v>
      </c>
    </row>
    <row r="104" spans="1:10" thickTop="1" thickBot="1" x14ac:dyDescent="0.6">
      <c r="A104" s="15">
        <v>103</v>
      </c>
      <c r="B104" s="16">
        <v>1150175</v>
      </c>
      <c r="C104" s="4" t="s">
        <v>2795</v>
      </c>
      <c r="E104" s="25" t="s">
        <v>95</v>
      </c>
      <c r="F104" s="4">
        <v>514677501</v>
      </c>
      <c r="G104" s="4">
        <v>514401</v>
      </c>
      <c r="H104" s="26">
        <v>1</v>
      </c>
      <c r="I104" s="28">
        <v>45721</v>
      </c>
    </row>
    <row r="105" spans="1:10" thickTop="1" thickBot="1" x14ac:dyDescent="0.6">
      <c r="A105" s="15">
        <v>104</v>
      </c>
      <c r="B105" s="16">
        <v>1150587</v>
      </c>
      <c r="C105" s="4" t="s">
        <v>185</v>
      </c>
      <c r="D105" s="25" t="s">
        <v>2794</v>
      </c>
      <c r="E105" s="25" t="s">
        <v>50</v>
      </c>
      <c r="F105" s="4">
        <v>718145994</v>
      </c>
      <c r="G105" s="4" t="str">
        <f>"0"&amp;93230</f>
        <v>093230</v>
      </c>
      <c r="H105" s="26">
        <v>1</v>
      </c>
      <c r="I105" s="28">
        <v>45293</v>
      </c>
      <c r="J105" s="27" t="s">
        <v>186</v>
      </c>
    </row>
    <row r="106" spans="1:10" thickTop="1" thickBot="1" x14ac:dyDescent="0.6">
      <c r="A106" s="15">
        <v>105</v>
      </c>
      <c r="B106" s="16" t="s">
        <v>2935</v>
      </c>
      <c r="C106" s="4" t="s">
        <v>187</v>
      </c>
      <c r="E106" s="25" t="s">
        <v>17</v>
      </c>
      <c r="F106" s="4">
        <v>773258914</v>
      </c>
      <c r="G106" s="4" t="s">
        <v>188</v>
      </c>
      <c r="H106" s="26">
        <v>2</v>
      </c>
      <c r="I106" s="28">
        <v>45352</v>
      </c>
    </row>
    <row r="107" spans="1:10" thickTop="1" thickBot="1" x14ac:dyDescent="0.6">
      <c r="A107" s="15">
        <v>106</v>
      </c>
      <c r="B107" s="16">
        <v>1150217</v>
      </c>
      <c r="C107" s="4" t="s">
        <v>1615</v>
      </c>
      <c r="D107" s="25" t="s">
        <v>189</v>
      </c>
      <c r="E107" s="25" t="s">
        <v>43</v>
      </c>
      <c r="F107" s="4">
        <v>775943777</v>
      </c>
      <c r="G107" s="4">
        <v>539200</v>
      </c>
      <c r="H107" s="26">
        <v>1</v>
      </c>
      <c r="J107" s="27" t="s">
        <v>190</v>
      </c>
    </row>
    <row r="108" spans="1:10" thickTop="1" thickBot="1" x14ac:dyDescent="0.6">
      <c r="A108" s="15">
        <v>107</v>
      </c>
      <c r="B108" s="16">
        <v>1151421</v>
      </c>
      <c r="C108" s="4" t="s">
        <v>2807</v>
      </c>
      <c r="D108" s="25" t="s">
        <v>2808</v>
      </c>
      <c r="E108" s="25" t="s">
        <v>123</v>
      </c>
      <c r="F108" s="4">
        <v>779959472</v>
      </c>
      <c r="G108" s="4">
        <v>620461</v>
      </c>
      <c r="H108" s="26">
        <v>1</v>
      </c>
      <c r="I108" s="28">
        <v>45725</v>
      </c>
      <c r="J108" s="27" t="s">
        <v>2809</v>
      </c>
    </row>
    <row r="109" spans="1:10" thickTop="1" thickBot="1" x14ac:dyDescent="0.6">
      <c r="A109" s="15">
        <v>108</v>
      </c>
      <c r="B109" s="16">
        <v>1151428</v>
      </c>
      <c r="C109" s="4" t="s">
        <v>2823</v>
      </c>
      <c r="D109" s="25" t="s">
        <v>127</v>
      </c>
      <c r="E109" s="25" t="s">
        <v>57</v>
      </c>
      <c r="F109" s="4">
        <v>714113098</v>
      </c>
      <c r="G109" s="4">
        <v>671894</v>
      </c>
      <c r="H109" s="26">
        <v>1</v>
      </c>
      <c r="I109" s="28">
        <v>45730</v>
      </c>
      <c r="J109" s="27" t="s">
        <v>2824</v>
      </c>
    </row>
    <row r="110" spans="1:10" thickTop="1" thickBot="1" x14ac:dyDescent="0.6">
      <c r="A110" s="15">
        <v>109</v>
      </c>
      <c r="B110" s="16">
        <v>1150851</v>
      </c>
      <c r="C110" s="4" t="s">
        <v>191</v>
      </c>
      <c r="D110" s="25" t="s">
        <v>192</v>
      </c>
      <c r="E110" s="25" t="s">
        <v>50</v>
      </c>
      <c r="F110" s="4">
        <v>775870217</v>
      </c>
      <c r="G110" s="4">
        <v>308125</v>
      </c>
      <c r="H110" s="26">
        <v>1</v>
      </c>
      <c r="I110" s="28">
        <v>45562</v>
      </c>
    </row>
    <row r="111" spans="1:10" thickTop="1" thickBot="1" x14ac:dyDescent="0.6">
      <c r="A111" s="15">
        <v>110</v>
      </c>
      <c r="B111" s="16">
        <v>1151077</v>
      </c>
      <c r="C111" s="4" t="s">
        <v>193</v>
      </c>
      <c r="D111" s="25" t="s">
        <v>194</v>
      </c>
      <c r="E111" s="25" t="s">
        <v>57</v>
      </c>
      <c r="F111" s="4">
        <v>779798910</v>
      </c>
      <c r="G111" s="4" t="s">
        <v>195</v>
      </c>
      <c r="H111" s="26">
        <v>4</v>
      </c>
      <c r="I111" s="28">
        <v>45601</v>
      </c>
      <c r="J111" s="27" t="s">
        <v>196</v>
      </c>
    </row>
    <row r="112" spans="1:10" thickTop="1" thickBot="1" x14ac:dyDescent="0.6">
      <c r="A112" s="15">
        <v>111</v>
      </c>
      <c r="B112" s="16">
        <v>1151192</v>
      </c>
      <c r="C112" s="4" t="s">
        <v>197</v>
      </c>
      <c r="D112" s="25" t="s">
        <v>198</v>
      </c>
      <c r="E112" s="25" t="s">
        <v>43</v>
      </c>
      <c r="F112" s="4" t="s">
        <v>199</v>
      </c>
      <c r="G112" s="4">
        <v>211634</v>
      </c>
      <c r="H112" s="26">
        <v>1</v>
      </c>
      <c r="I112" s="28">
        <v>45606</v>
      </c>
      <c r="J112" s="27" t="s">
        <v>200</v>
      </c>
    </row>
    <row r="113" spans="1:10" thickTop="1" thickBot="1" x14ac:dyDescent="0.6">
      <c r="A113" s="15">
        <v>112</v>
      </c>
      <c r="B113" s="16">
        <v>1150256</v>
      </c>
      <c r="C113" s="4" t="s">
        <v>2835</v>
      </c>
      <c r="D113" s="25" t="s">
        <v>910</v>
      </c>
      <c r="E113" s="25" t="s">
        <v>17</v>
      </c>
      <c r="F113" s="4">
        <v>717206115</v>
      </c>
      <c r="G113" s="4">
        <v>314553</v>
      </c>
      <c r="H113" s="26">
        <v>1</v>
      </c>
      <c r="I113" s="28">
        <v>45702</v>
      </c>
      <c r="J113" s="27" t="s">
        <v>2836</v>
      </c>
    </row>
    <row r="114" spans="1:10" thickTop="1" thickBot="1" x14ac:dyDescent="0.6">
      <c r="A114" s="15">
        <v>113</v>
      </c>
      <c r="B114" s="16">
        <v>1151438</v>
      </c>
      <c r="C114" s="4" t="s">
        <v>2862</v>
      </c>
      <c r="D114" s="25" t="s">
        <v>2863</v>
      </c>
      <c r="E114" s="25" t="s">
        <v>50</v>
      </c>
      <c r="F114" s="4" t="s">
        <v>2864</v>
      </c>
      <c r="G114" s="4">
        <v>562176</v>
      </c>
      <c r="H114" s="26">
        <v>1</v>
      </c>
      <c r="I114" s="28">
        <v>45737</v>
      </c>
      <c r="J114" s="27">
        <v>198220102442</v>
      </c>
    </row>
    <row r="115" spans="1:10" thickTop="1" thickBot="1" x14ac:dyDescent="0.6">
      <c r="A115" s="15">
        <v>114</v>
      </c>
      <c r="B115" s="16">
        <v>1151163</v>
      </c>
      <c r="C115" s="4" t="s">
        <v>201</v>
      </c>
      <c r="E115" s="25" t="s">
        <v>23</v>
      </c>
      <c r="F115" s="4" t="s">
        <v>1616</v>
      </c>
      <c r="G115" s="4">
        <v>272966</v>
      </c>
      <c r="H115" s="26">
        <v>1</v>
      </c>
      <c r="I115" s="28">
        <v>45605</v>
      </c>
      <c r="J115" s="27" t="s">
        <v>202</v>
      </c>
    </row>
    <row r="116" spans="1:10" thickTop="1" thickBot="1" x14ac:dyDescent="0.6">
      <c r="A116" s="15">
        <v>115</v>
      </c>
      <c r="B116" s="17">
        <v>1151447</v>
      </c>
      <c r="C116" s="4" t="s">
        <v>2885</v>
      </c>
      <c r="D116" s="25" t="s">
        <v>549</v>
      </c>
      <c r="E116" s="25" t="s">
        <v>6</v>
      </c>
      <c r="F116" s="4" t="s">
        <v>2886</v>
      </c>
      <c r="G116" s="4">
        <v>565369</v>
      </c>
      <c r="H116" s="26">
        <v>1</v>
      </c>
      <c r="I116" s="28">
        <v>45744</v>
      </c>
      <c r="J116" s="27">
        <v>199931001168</v>
      </c>
    </row>
    <row r="117" spans="1:10" thickTop="1" thickBot="1" x14ac:dyDescent="0.6">
      <c r="A117" s="15">
        <v>116</v>
      </c>
      <c r="B117" s="16">
        <v>1151085</v>
      </c>
      <c r="C117" s="4" t="s">
        <v>203</v>
      </c>
      <c r="E117" s="25" t="s">
        <v>135</v>
      </c>
      <c r="F117" s="4">
        <v>512222307</v>
      </c>
      <c r="G117" s="4">
        <v>197221</v>
      </c>
      <c r="H117" s="26">
        <v>1</v>
      </c>
      <c r="I117" s="28">
        <v>45602</v>
      </c>
    </row>
    <row r="118" spans="1:10" thickTop="1" thickBot="1" x14ac:dyDescent="0.6">
      <c r="A118" s="15">
        <v>117</v>
      </c>
      <c r="B118" s="17">
        <v>1150353</v>
      </c>
      <c r="C118" s="4" t="s">
        <v>204</v>
      </c>
      <c r="D118" s="25" t="s">
        <v>205</v>
      </c>
      <c r="E118" s="25" t="s">
        <v>23</v>
      </c>
      <c r="F118" s="4">
        <v>706125540</v>
      </c>
      <c r="G118" s="4">
        <v>702635</v>
      </c>
      <c r="H118" s="26">
        <v>1</v>
      </c>
      <c r="I118" s="28">
        <v>45487</v>
      </c>
      <c r="J118" s="27" t="s">
        <v>206</v>
      </c>
    </row>
    <row r="119" spans="1:10" thickTop="1" thickBot="1" x14ac:dyDescent="0.6">
      <c r="A119" s="15">
        <v>118</v>
      </c>
      <c r="B119" s="17">
        <v>1151446</v>
      </c>
      <c r="C119" s="4" t="s">
        <v>2887</v>
      </c>
      <c r="D119" s="25" t="s">
        <v>2888</v>
      </c>
      <c r="E119" s="25" t="s">
        <v>249</v>
      </c>
      <c r="F119" s="4" t="s">
        <v>2889</v>
      </c>
      <c r="G119" s="4">
        <v>603749</v>
      </c>
      <c r="H119" s="26">
        <v>1</v>
      </c>
      <c r="I119" s="28">
        <v>45744</v>
      </c>
      <c r="J119" s="27" t="s">
        <v>2890</v>
      </c>
    </row>
    <row r="120" spans="1:10" thickTop="1" thickBot="1" x14ac:dyDescent="0.6">
      <c r="A120" s="15">
        <v>119</v>
      </c>
      <c r="B120" s="16">
        <v>1151406</v>
      </c>
      <c r="C120" s="4" t="s">
        <v>2897</v>
      </c>
      <c r="D120" s="25" t="s">
        <v>3353</v>
      </c>
      <c r="E120" s="25" t="s">
        <v>57</v>
      </c>
      <c r="F120" s="4" t="s">
        <v>2898</v>
      </c>
      <c r="G120" s="4">
        <v>414808</v>
      </c>
      <c r="H120" s="26">
        <v>1</v>
      </c>
      <c r="I120" s="28">
        <v>45746</v>
      </c>
      <c r="J120" s="27" t="s">
        <v>2899</v>
      </c>
    </row>
    <row r="121" spans="1:10" thickTop="1" thickBot="1" x14ac:dyDescent="0.6">
      <c r="A121" s="15">
        <v>120</v>
      </c>
      <c r="B121" s="16">
        <v>1151329</v>
      </c>
      <c r="C121" s="4" t="s">
        <v>2891</v>
      </c>
      <c r="D121" s="25" t="s">
        <v>656</v>
      </c>
      <c r="E121" s="25" t="s">
        <v>370</v>
      </c>
      <c r="F121" s="4">
        <v>779088447</v>
      </c>
      <c r="G121" s="4">
        <v>712295</v>
      </c>
      <c r="H121" s="26">
        <v>1</v>
      </c>
      <c r="I121" s="28">
        <v>45746</v>
      </c>
      <c r="J121" s="27" t="s">
        <v>2892</v>
      </c>
    </row>
    <row r="122" spans="1:10" thickTop="1" thickBot="1" x14ac:dyDescent="0.6">
      <c r="A122" s="15">
        <v>121</v>
      </c>
      <c r="B122" s="16">
        <v>1151457</v>
      </c>
      <c r="C122" s="4" t="s">
        <v>2906</v>
      </c>
      <c r="D122" s="25" t="s">
        <v>2907</v>
      </c>
      <c r="E122" s="25" t="s">
        <v>23</v>
      </c>
      <c r="F122" s="4">
        <v>779749603</v>
      </c>
      <c r="G122" s="4">
        <v>564776</v>
      </c>
      <c r="H122" s="26">
        <v>1</v>
      </c>
      <c r="I122" s="28">
        <v>45747</v>
      </c>
      <c r="J122" s="27" t="s">
        <v>2908</v>
      </c>
    </row>
    <row r="123" spans="1:10" thickTop="1" thickBot="1" x14ac:dyDescent="0.6">
      <c r="A123" s="15">
        <v>122</v>
      </c>
      <c r="B123" s="16">
        <v>1151300</v>
      </c>
      <c r="C123" s="4" t="s">
        <v>1617</v>
      </c>
      <c r="D123" s="25" t="s">
        <v>565</v>
      </c>
      <c r="E123" s="25" t="s">
        <v>43</v>
      </c>
      <c r="F123" s="4" t="s">
        <v>209</v>
      </c>
      <c r="G123" s="4">
        <v>325301</v>
      </c>
      <c r="H123" s="26">
        <v>1</v>
      </c>
      <c r="I123" s="28">
        <v>45615</v>
      </c>
    </row>
    <row r="124" spans="1:10" thickTop="1" thickBot="1" x14ac:dyDescent="0.6">
      <c r="A124" s="15">
        <v>123</v>
      </c>
      <c r="B124" s="16">
        <v>1150032</v>
      </c>
      <c r="C124" s="4" t="s">
        <v>210</v>
      </c>
      <c r="D124" s="25" t="s">
        <v>211</v>
      </c>
      <c r="E124" s="25" t="s">
        <v>17</v>
      </c>
      <c r="F124" s="4">
        <v>777918995</v>
      </c>
      <c r="G124" s="4">
        <v>330915</v>
      </c>
      <c r="H124" s="26">
        <v>1</v>
      </c>
      <c r="J124" s="27" t="s">
        <v>212</v>
      </c>
    </row>
    <row r="125" spans="1:10" thickTop="1" thickBot="1" x14ac:dyDescent="0.6">
      <c r="A125" s="15">
        <v>124</v>
      </c>
      <c r="B125" s="16">
        <v>1150589</v>
      </c>
      <c r="C125" s="4" t="s">
        <v>213</v>
      </c>
      <c r="E125" s="25" t="s">
        <v>43</v>
      </c>
      <c r="F125" s="4">
        <v>715800893</v>
      </c>
      <c r="G125" s="4" t="s">
        <v>214</v>
      </c>
      <c r="H125" s="26">
        <v>3</v>
      </c>
      <c r="I125" s="28">
        <v>45294</v>
      </c>
      <c r="J125" s="27" t="s">
        <v>215</v>
      </c>
    </row>
    <row r="126" spans="1:10" thickTop="1" thickBot="1" x14ac:dyDescent="0.6">
      <c r="A126" s="15">
        <v>125</v>
      </c>
      <c r="B126" s="16">
        <v>1150486</v>
      </c>
      <c r="C126" s="4" t="s">
        <v>216</v>
      </c>
      <c r="D126" s="25" t="s">
        <v>217</v>
      </c>
      <c r="E126" s="25" t="s">
        <v>24</v>
      </c>
      <c r="F126" s="4">
        <v>776003759</v>
      </c>
      <c r="G126" s="4">
        <v>116643</v>
      </c>
      <c r="H126" s="26">
        <v>1</v>
      </c>
      <c r="I126" s="28">
        <v>45108</v>
      </c>
    </row>
    <row r="127" spans="1:10" thickTop="1" thickBot="1" x14ac:dyDescent="0.6">
      <c r="A127" s="15">
        <v>126</v>
      </c>
      <c r="B127" s="16">
        <v>1150094</v>
      </c>
      <c r="C127" s="4" t="s">
        <v>1618</v>
      </c>
      <c r="D127" s="25" t="s">
        <v>1605</v>
      </c>
      <c r="E127" s="25" t="s">
        <v>78</v>
      </c>
      <c r="F127" s="4">
        <v>771137878</v>
      </c>
      <c r="G127" s="4">
        <v>228416</v>
      </c>
      <c r="H127" s="26">
        <v>1</v>
      </c>
      <c r="J127" s="27" t="s">
        <v>218</v>
      </c>
    </row>
    <row r="128" spans="1:10" thickTop="1" thickBot="1" x14ac:dyDescent="0.6">
      <c r="A128" s="15">
        <v>127</v>
      </c>
      <c r="B128" s="16">
        <v>1151382</v>
      </c>
      <c r="C128" s="4" t="s">
        <v>2725</v>
      </c>
      <c r="D128" s="25" t="s">
        <v>274</v>
      </c>
      <c r="E128" s="25" t="s">
        <v>43</v>
      </c>
      <c r="F128" s="4">
        <v>779078978</v>
      </c>
      <c r="G128" s="4">
        <v>412224</v>
      </c>
      <c r="H128" s="26">
        <v>1</v>
      </c>
      <c r="I128" s="28">
        <v>45701</v>
      </c>
      <c r="J128" s="27" t="s">
        <v>2726</v>
      </c>
    </row>
    <row r="129" spans="1:10" thickTop="1" thickBot="1" x14ac:dyDescent="0.6">
      <c r="A129" s="15">
        <v>128</v>
      </c>
      <c r="B129" s="16" t="s">
        <v>2936</v>
      </c>
      <c r="C129" s="4" t="s">
        <v>219</v>
      </c>
      <c r="D129" s="25" t="s">
        <v>220</v>
      </c>
      <c r="E129" s="25" t="s">
        <v>24</v>
      </c>
      <c r="F129" s="4">
        <v>773551894</v>
      </c>
      <c r="G129" s="4" t="s">
        <v>221</v>
      </c>
      <c r="H129" s="26">
        <v>2</v>
      </c>
      <c r="J129" s="27" t="s">
        <v>222</v>
      </c>
    </row>
    <row r="130" spans="1:10" thickTop="1" thickBot="1" x14ac:dyDescent="0.6">
      <c r="A130" s="15">
        <v>129</v>
      </c>
      <c r="B130" s="16">
        <v>1150805</v>
      </c>
      <c r="C130" s="4" t="s">
        <v>223</v>
      </c>
      <c r="D130" s="25" t="s">
        <v>224</v>
      </c>
      <c r="E130" s="25" t="s">
        <v>135</v>
      </c>
      <c r="F130" s="4" t="s">
        <v>1619</v>
      </c>
      <c r="G130" s="4">
        <v>147457</v>
      </c>
      <c r="H130" s="26">
        <v>1</v>
      </c>
      <c r="I130" s="28">
        <v>45533</v>
      </c>
      <c r="J130" s="27" t="s">
        <v>225</v>
      </c>
    </row>
    <row r="131" spans="1:10" thickTop="1" thickBot="1" x14ac:dyDescent="0.6">
      <c r="A131" s="15">
        <v>130</v>
      </c>
      <c r="B131" s="16">
        <v>1150779</v>
      </c>
      <c r="C131" s="4" t="s">
        <v>226</v>
      </c>
      <c r="D131" s="25" t="s">
        <v>227</v>
      </c>
      <c r="E131" s="25" t="s">
        <v>135</v>
      </c>
      <c r="F131" s="4" t="s">
        <v>228</v>
      </c>
      <c r="G131" s="4">
        <v>156920</v>
      </c>
      <c r="H131" s="26">
        <v>1</v>
      </c>
      <c r="I131" s="28">
        <v>45524</v>
      </c>
      <c r="J131" s="27" t="s">
        <v>229</v>
      </c>
    </row>
    <row r="132" spans="1:10" thickTop="1" thickBot="1" x14ac:dyDescent="0.6">
      <c r="A132" s="15">
        <v>131</v>
      </c>
      <c r="B132" s="16">
        <v>1151462</v>
      </c>
      <c r="C132" s="4" t="s">
        <v>2924</v>
      </c>
      <c r="D132" s="25" t="s">
        <v>2925</v>
      </c>
      <c r="E132" s="25" t="s">
        <v>23</v>
      </c>
      <c r="F132" s="4" t="s">
        <v>2926</v>
      </c>
      <c r="G132" s="4">
        <v>640493</v>
      </c>
      <c r="H132" s="26">
        <v>1</v>
      </c>
      <c r="I132" s="28">
        <v>45751</v>
      </c>
      <c r="J132" s="27" t="s">
        <v>2927</v>
      </c>
    </row>
    <row r="133" spans="1:10" thickTop="1" thickBot="1" x14ac:dyDescent="0.6">
      <c r="A133" s="15">
        <v>132</v>
      </c>
      <c r="B133" s="16">
        <v>1151125</v>
      </c>
      <c r="C133" s="4" t="s">
        <v>231</v>
      </c>
      <c r="D133" s="25" t="s">
        <v>232</v>
      </c>
      <c r="E133" s="25" t="s">
        <v>135</v>
      </c>
      <c r="F133" s="4">
        <v>718154787</v>
      </c>
      <c r="G133" s="4">
        <v>197510</v>
      </c>
      <c r="H133" s="26">
        <v>1</v>
      </c>
      <c r="I133" s="28">
        <v>45604</v>
      </c>
      <c r="J133" s="27" t="s">
        <v>233</v>
      </c>
    </row>
    <row r="134" spans="1:10" thickTop="1" thickBot="1" x14ac:dyDescent="0.6">
      <c r="A134" s="15">
        <v>133</v>
      </c>
      <c r="B134" s="16">
        <v>1150591</v>
      </c>
      <c r="C134" s="4" t="s">
        <v>234</v>
      </c>
      <c r="D134" s="25" t="s">
        <v>235</v>
      </c>
      <c r="E134" s="25" t="s">
        <v>17</v>
      </c>
      <c r="F134" s="4">
        <v>777861828</v>
      </c>
      <c r="G134" s="4">
        <v>127947</v>
      </c>
      <c r="H134" s="26">
        <v>1</v>
      </c>
      <c r="I134" s="28">
        <v>45406</v>
      </c>
      <c r="J134" s="27" t="s">
        <v>236</v>
      </c>
    </row>
    <row r="135" spans="1:10" thickTop="1" thickBot="1" x14ac:dyDescent="0.6">
      <c r="A135" s="15">
        <v>134</v>
      </c>
      <c r="B135" s="16">
        <v>1151464</v>
      </c>
      <c r="C135" s="4" t="s">
        <v>2948</v>
      </c>
      <c r="D135" s="25" t="s">
        <v>97</v>
      </c>
      <c r="E135" s="25" t="s">
        <v>23</v>
      </c>
      <c r="F135" s="4">
        <v>773407283</v>
      </c>
      <c r="G135" s="4">
        <v>430739</v>
      </c>
      <c r="H135" s="26">
        <v>1</v>
      </c>
      <c r="I135" s="28">
        <v>45754</v>
      </c>
      <c r="J135" s="27" t="s">
        <v>2949</v>
      </c>
    </row>
    <row r="136" spans="1:10" thickTop="1" thickBot="1" x14ac:dyDescent="0.6">
      <c r="A136" s="15">
        <v>135</v>
      </c>
      <c r="B136" s="16">
        <v>1150101</v>
      </c>
      <c r="C136" s="4" t="s">
        <v>237</v>
      </c>
      <c r="D136" s="25" t="s">
        <v>239</v>
      </c>
      <c r="E136" s="25" t="s">
        <v>238</v>
      </c>
      <c r="F136" s="4">
        <v>771933453</v>
      </c>
      <c r="G136" s="4">
        <v>140122</v>
      </c>
      <c r="H136" s="26">
        <v>1</v>
      </c>
      <c r="I136" s="28">
        <v>45513</v>
      </c>
      <c r="J136" s="27" t="s">
        <v>240</v>
      </c>
    </row>
    <row r="137" spans="1:10" thickTop="1" thickBot="1" x14ac:dyDescent="0.6">
      <c r="A137" s="15">
        <v>136</v>
      </c>
      <c r="B137" s="16" t="e" cm="1">
        <f t="array" ref="B137">B137:C8211151455</f>
        <v>#NAME?</v>
      </c>
      <c r="C137" s="4" t="s">
        <v>241</v>
      </c>
      <c r="E137" s="25" t="s">
        <v>135</v>
      </c>
      <c r="F137" s="4">
        <v>718154723</v>
      </c>
      <c r="G137" s="4">
        <v>531379</v>
      </c>
      <c r="H137" s="26">
        <v>1</v>
      </c>
      <c r="I137" s="28">
        <v>45747</v>
      </c>
    </row>
    <row r="138" spans="1:10" thickTop="1" thickBot="1" x14ac:dyDescent="0.6">
      <c r="A138" s="15">
        <v>137</v>
      </c>
      <c r="B138" s="16">
        <v>1150815</v>
      </c>
      <c r="C138" s="4" t="s">
        <v>242</v>
      </c>
      <c r="D138" s="25" t="s">
        <v>243</v>
      </c>
      <c r="E138" s="25" t="s">
        <v>135</v>
      </c>
      <c r="F138" s="4">
        <v>765875484</v>
      </c>
      <c r="G138" s="4">
        <v>142821</v>
      </c>
      <c r="H138" s="26">
        <v>1</v>
      </c>
      <c r="I138" s="28">
        <v>45536</v>
      </c>
    </row>
    <row r="139" spans="1:10" thickTop="1" thickBot="1" x14ac:dyDescent="0.6">
      <c r="A139" s="15">
        <v>138</v>
      </c>
      <c r="B139" s="16">
        <v>1150739</v>
      </c>
      <c r="C139" s="4" t="s">
        <v>244</v>
      </c>
      <c r="D139" s="25" t="s">
        <v>243</v>
      </c>
      <c r="E139" s="25" t="s">
        <v>135</v>
      </c>
      <c r="F139" s="4">
        <v>771764898</v>
      </c>
      <c r="G139" s="4">
        <v>146186</v>
      </c>
      <c r="H139" s="26">
        <v>1</v>
      </c>
      <c r="I139" s="28">
        <v>45533</v>
      </c>
      <c r="J139" s="27" t="s">
        <v>245</v>
      </c>
    </row>
    <row r="140" spans="1:10" thickTop="1" thickBot="1" x14ac:dyDescent="0.6">
      <c r="A140" s="15">
        <v>139</v>
      </c>
      <c r="B140" s="16">
        <v>1150812</v>
      </c>
      <c r="C140" s="4" t="s">
        <v>246</v>
      </c>
      <c r="D140" s="25" t="s">
        <v>243</v>
      </c>
      <c r="E140" s="25" t="s">
        <v>135</v>
      </c>
      <c r="F140" s="4" t="s">
        <v>247</v>
      </c>
      <c r="G140" s="4" t="str">
        <f>"0"&amp;93677</f>
        <v>093677</v>
      </c>
      <c r="H140" s="26">
        <v>1</v>
      </c>
      <c r="I140" s="28">
        <v>45534</v>
      </c>
      <c r="J140" s="27" t="s">
        <v>248</v>
      </c>
    </row>
    <row r="141" spans="1:10" thickTop="1" thickBot="1" x14ac:dyDescent="0.6">
      <c r="A141" s="15">
        <v>140</v>
      </c>
      <c r="B141" s="16">
        <v>1150471</v>
      </c>
      <c r="C141" s="4" t="s">
        <v>2951</v>
      </c>
      <c r="D141" s="25" t="s">
        <v>441</v>
      </c>
      <c r="E141" s="25" t="s">
        <v>63</v>
      </c>
      <c r="F141" s="4">
        <v>776992792</v>
      </c>
      <c r="G141" s="4">
        <v>541857</v>
      </c>
      <c r="H141" s="26">
        <v>1</v>
      </c>
      <c r="I141" s="28">
        <v>45772</v>
      </c>
      <c r="J141" s="27">
        <v>710350604</v>
      </c>
    </row>
    <row r="142" spans="1:10" thickTop="1" thickBot="1" x14ac:dyDescent="0.6">
      <c r="A142" s="15">
        <v>141</v>
      </c>
      <c r="B142" s="16">
        <v>1150045</v>
      </c>
      <c r="C142" s="4" t="s">
        <v>251</v>
      </c>
      <c r="D142" s="25" t="s">
        <v>252</v>
      </c>
      <c r="E142" s="25" t="s">
        <v>63</v>
      </c>
      <c r="F142" s="4" t="s">
        <v>253</v>
      </c>
      <c r="G142" s="4">
        <v>264437</v>
      </c>
      <c r="H142" s="26">
        <v>1</v>
      </c>
    </row>
    <row r="143" spans="1:10" thickTop="1" thickBot="1" x14ac:dyDescent="0.6">
      <c r="A143" s="15">
        <v>142</v>
      </c>
      <c r="B143" s="16">
        <v>1150086</v>
      </c>
      <c r="C143" s="4" t="s">
        <v>2952</v>
      </c>
      <c r="D143" s="25" t="s">
        <v>441</v>
      </c>
      <c r="E143" s="25" t="s">
        <v>63</v>
      </c>
      <c r="F143" s="4">
        <v>778110255</v>
      </c>
      <c r="G143" s="4">
        <v>534498</v>
      </c>
      <c r="H143" s="26">
        <v>1</v>
      </c>
      <c r="I143" s="28">
        <v>45772</v>
      </c>
      <c r="J143" s="27">
        <v>710350604</v>
      </c>
    </row>
    <row r="144" spans="1:10" thickTop="1" thickBot="1" x14ac:dyDescent="0.6">
      <c r="A144" s="15">
        <v>143</v>
      </c>
      <c r="B144" s="16">
        <v>1150124</v>
      </c>
      <c r="C144" s="4" t="s">
        <v>254</v>
      </c>
      <c r="D144" s="25" t="s">
        <v>255</v>
      </c>
      <c r="E144" s="25" t="s">
        <v>95</v>
      </c>
      <c r="F144" s="4">
        <v>771909700</v>
      </c>
      <c r="G144" s="4">
        <v>535240</v>
      </c>
      <c r="H144" s="26">
        <v>1</v>
      </c>
      <c r="J144" s="27" t="s">
        <v>256</v>
      </c>
    </row>
    <row r="145" spans="1:10" thickTop="1" thickBot="1" x14ac:dyDescent="0.6">
      <c r="A145" s="15">
        <v>144</v>
      </c>
      <c r="B145" s="16">
        <v>1151182</v>
      </c>
      <c r="C145" s="4" t="s">
        <v>257</v>
      </c>
      <c r="D145" s="25" t="s">
        <v>258</v>
      </c>
      <c r="E145" s="25" t="s">
        <v>57</v>
      </c>
      <c r="F145" s="4">
        <v>718010976</v>
      </c>
      <c r="G145" s="4">
        <v>308885</v>
      </c>
      <c r="H145" s="26">
        <v>1</v>
      </c>
      <c r="I145" s="28">
        <v>45641</v>
      </c>
      <c r="J145" s="27" t="s">
        <v>259</v>
      </c>
    </row>
    <row r="146" spans="1:10" thickTop="1" thickBot="1" x14ac:dyDescent="0.6">
      <c r="A146" s="15">
        <v>145</v>
      </c>
      <c r="B146" s="16">
        <v>1150138</v>
      </c>
      <c r="C146" s="4" t="s">
        <v>260</v>
      </c>
      <c r="E146" s="25" t="s">
        <v>23</v>
      </c>
      <c r="F146" s="4" t="s">
        <v>261</v>
      </c>
      <c r="G146" s="4">
        <v>716437</v>
      </c>
      <c r="H146" s="26">
        <v>1</v>
      </c>
      <c r="J146" s="27" t="s">
        <v>262</v>
      </c>
    </row>
    <row r="147" spans="1:10" thickTop="1" thickBot="1" x14ac:dyDescent="0.6">
      <c r="A147" s="15">
        <v>146</v>
      </c>
      <c r="B147" s="16">
        <v>1151466</v>
      </c>
      <c r="C147" s="4" t="s">
        <v>2954</v>
      </c>
      <c r="D147" s="25" t="s">
        <v>2955</v>
      </c>
      <c r="E147" s="25" t="s">
        <v>17</v>
      </c>
      <c r="F147" s="4">
        <v>777380732</v>
      </c>
      <c r="G147" s="4">
        <v>656432</v>
      </c>
      <c r="H147" s="26">
        <v>1</v>
      </c>
      <c r="I147" s="28">
        <v>45756</v>
      </c>
      <c r="J147" s="27" t="s">
        <v>2956</v>
      </c>
    </row>
    <row r="148" spans="1:10" thickTop="1" thickBot="1" x14ac:dyDescent="0.6">
      <c r="A148" s="15">
        <v>147</v>
      </c>
      <c r="B148" s="16">
        <v>1151469</v>
      </c>
      <c r="C148" s="4" t="s">
        <v>2963</v>
      </c>
      <c r="D148" s="25" t="s">
        <v>456</v>
      </c>
      <c r="E148" s="25" t="s">
        <v>6</v>
      </c>
      <c r="F148" s="4">
        <v>755779100</v>
      </c>
      <c r="G148" s="4">
        <v>672967</v>
      </c>
      <c r="H148" s="26">
        <v>1</v>
      </c>
      <c r="I148" s="28">
        <v>45758</v>
      </c>
      <c r="J148" s="27" t="s">
        <v>2964</v>
      </c>
    </row>
    <row r="149" spans="1:10" thickTop="1" thickBot="1" x14ac:dyDescent="0.6">
      <c r="A149" s="15">
        <v>148</v>
      </c>
      <c r="B149" s="16">
        <v>1150363</v>
      </c>
      <c r="C149" s="4" t="s">
        <v>263</v>
      </c>
      <c r="D149" s="25" t="s">
        <v>264</v>
      </c>
      <c r="E149" s="25" t="s">
        <v>12</v>
      </c>
      <c r="F149" s="4">
        <v>777515717</v>
      </c>
      <c r="G149" s="4">
        <v>261763</v>
      </c>
      <c r="H149" s="26">
        <v>1</v>
      </c>
      <c r="I149" s="28">
        <v>45341</v>
      </c>
    </row>
    <row r="150" spans="1:10" thickTop="1" thickBot="1" x14ac:dyDescent="0.6">
      <c r="A150" s="15">
        <v>149</v>
      </c>
      <c r="B150" s="16">
        <v>1150063</v>
      </c>
      <c r="C150" s="4" t="s">
        <v>3121</v>
      </c>
      <c r="D150" s="25" t="s">
        <v>752</v>
      </c>
      <c r="E150" s="25" t="s">
        <v>249</v>
      </c>
      <c r="F150" s="4" t="s">
        <v>3122</v>
      </c>
      <c r="G150" s="4" t="s">
        <v>3123</v>
      </c>
      <c r="H150" s="26">
        <v>2</v>
      </c>
      <c r="I150" s="28">
        <v>45567</v>
      </c>
      <c r="J150" s="27" t="s">
        <v>3124</v>
      </c>
    </row>
    <row r="151" spans="1:10" thickTop="1" thickBot="1" x14ac:dyDescent="0.6">
      <c r="A151" s="15">
        <v>150</v>
      </c>
      <c r="B151" s="16">
        <v>1151474</v>
      </c>
      <c r="C151" s="4" t="s">
        <v>2972</v>
      </c>
      <c r="D151" s="25" t="s">
        <v>576</v>
      </c>
      <c r="E151" s="25" t="s">
        <v>23</v>
      </c>
      <c r="F151" s="4">
        <v>771091972</v>
      </c>
      <c r="G151" s="4">
        <v>473176</v>
      </c>
      <c r="H151" s="26">
        <v>1</v>
      </c>
      <c r="I151" s="28">
        <v>45760</v>
      </c>
      <c r="J151" s="27" t="s">
        <v>2973</v>
      </c>
    </row>
    <row r="152" spans="1:10" thickTop="1" thickBot="1" x14ac:dyDescent="0.6">
      <c r="A152" s="15">
        <v>151</v>
      </c>
      <c r="B152" s="16">
        <v>1150958</v>
      </c>
      <c r="C152" s="4" t="s">
        <v>265</v>
      </c>
      <c r="E152" s="25" t="s">
        <v>23</v>
      </c>
      <c r="F152" s="4">
        <v>713092180</v>
      </c>
      <c r="G152" s="4">
        <v>370695</v>
      </c>
      <c r="H152" s="26">
        <v>1</v>
      </c>
      <c r="I152" s="28">
        <v>45583</v>
      </c>
      <c r="J152" s="27">
        <v>196476001871</v>
      </c>
    </row>
    <row r="153" spans="1:10" thickTop="1" thickBot="1" x14ac:dyDescent="0.6">
      <c r="A153" s="15">
        <v>152</v>
      </c>
      <c r="B153" s="16">
        <v>1150122</v>
      </c>
      <c r="C153" s="4" t="s">
        <v>266</v>
      </c>
      <c r="D153" s="25" t="s">
        <v>267</v>
      </c>
      <c r="E153" s="25" t="s">
        <v>23</v>
      </c>
      <c r="F153" s="4">
        <v>773202956</v>
      </c>
      <c r="G153" s="4">
        <v>750352</v>
      </c>
      <c r="H153" s="26">
        <v>1</v>
      </c>
      <c r="J153" s="27" t="s">
        <v>268</v>
      </c>
    </row>
    <row r="154" spans="1:10" thickTop="1" thickBot="1" x14ac:dyDescent="0.6">
      <c r="A154" s="15">
        <v>153</v>
      </c>
      <c r="B154" s="16">
        <v>1151488</v>
      </c>
      <c r="C154" s="4" t="s">
        <v>3002</v>
      </c>
      <c r="D154" s="25" t="s">
        <v>3003</v>
      </c>
      <c r="E154" s="25" t="s">
        <v>43</v>
      </c>
      <c r="F154" s="4">
        <v>777826368</v>
      </c>
      <c r="G154" s="4">
        <v>592900</v>
      </c>
      <c r="H154" s="26">
        <v>1</v>
      </c>
      <c r="I154" s="28">
        <v>45767</v>
      </c>
      <c r="J154" s="27" t="s">
        <v>3004</v>
      </c>
    </row>
    <row r="155" spans="1:10" thickTop="1" thickBot="1" x14ac:dyDescent="0.6">
      <c r="A155" s="15">
        <v>154</v>
      </c>
      <c r="B155" s="16">
        <v>1151489</v>
      </c>
      <c r="C155" s="4" t="s">
        <v>3006</v>
      </c>
      <c r="D155" s="25" t="s">
        <v>97</v>
      </c>
      <c r="E155" s="25" t="s">
        <v>6</v>
      </c>
      <c r="F155" s="4">
        <v>766793842</v>
      </c>
      <c r="G155" s="4">
        <v>606544</v>
      </c>
      <c r="H155" s="26">
        <v>1</v>
      </c>
      <c r="I155" s="28">
        <v>45768</v>
      </c>
      <c r="J155" s="27" t="s">
        <v>98</v>
      </c>
    </row>
    <row r="156" spans="1:10" thickTop="1" thickBot="1" x14ac:dyDescent="0.6">
      <c r="A156" s="15">
        <v>155</v>
      </c>
      <c r="B156" s="16">
        <v>1151490</v>
      </c>
      <c r="C156" s="4" t="s">
        <v>3007</v>
      </c>
      <c r="D156" s="25" t="s">
        <v>970</v>
      </c>
      <c r="E156" s="25" t="s">
        <v>249</v>
      </c>
      <c r="F156" s="4">
        <v>763578803</v>
      </c>
      <c r="G156" s="4">
        <v>630940</v>
      </c>
      <c r="H156" s="26">
        <v>1</v>
      </c>
      <c r="I156" s="28">
        <v>45768</v>
      </c>
      <c r="J156" s="27">
        <v>199358910031</v>
      </c>
    </row>
    <row r="157" spans="1:10" thickTop="1" thickBot="1" x14ac:dyDescent="0.6">
      <c r="A157" s="15">
        <v>156</v>
      </c>
      <c r="B157" s="16">
        <v>1150606</v>
      </c>
      <c r="C157" s="4" t="s">
        <v>270</v>
      </c>
      <c r="D157" s="25" t="s">
        <v>271</v>
      </c>
      <c r="E157" s="25" t="s">
        <v>43</v>
      </c>
      <c r="F157" s="4" t="s">
        <v>272</v>
      </c>
      <c r="G157" s="4" t="str">
        <f>"0"&amp;86838</f>
        <v>086838</v>
      </c>
      <c r="H157" s="26">
        <v>1</v>
      </c>
      <c r="I157" s="28">
        <v>45303</v>
      </c>
      <c r="J157" s="27">
        <v>198021501756</v>
      </c>
    </row>
    <row r="158" spans="1:10" thickTop="1" thickBot="1" x14ac:dyDescent="0.6">
      <c r="A158" s="15">
        <v>157</v>
      </c>
      <c r="B158" s="16">
        <v>1150483</v>
      </c>
      <c r="C158" s="4" t="s">
        <v>273</v>
      </c>
      <c r="D158" s="25" t="s">
        <v>269</v>
      </c>
      <c r="E158" s="25" t="s">
        <v>43</v>
      </c>
      <c r="F158" s="4">
        <v>771600860</v>
      </c>
      <c r="G158" s="4">
        <v>121379</v>
      </c>
      <c r="H158" s="26">
        <v>1</v>
      </c>
      <c r="I158" s="28">
        <v>45107</v>
      </c>
    </row>
    <row r="159" spans="1:10" thickTop="1" thickBot="1" x14ac:dyDescent="0.6">
      <c r="A159" s="15">
        <v>158</v>
      </c>
      <c r="B159" s="16">
        <v>1151492</v>
      </c>
      <c r="C159" s="4" t="s">
        <v>3010</v>
      </c>
      <c r="D159" s="25" t="s">
        <v>576</v>
      </c>
      <c r="E159" s="25" t="s">
        <v>17</v>
      </c>
      <c r="F159" s="4">
        <v>774345391</v>
      </c>
      <c r="G159" s="4">
        <v>415896</v>
      </c>
      <c r="H159" s="26">
        <v>1</v>
      </c>
      <c r="I159" s="28">
        <v>45769</v>
      </c>
      <c r="J159" s="27">
        <v>194916310062</v>
      </c>
    </row>
    <row r="160" spans="1:10" thickTop="1" thickBot="1" x14ac:dyDescent="0.6">
      <c r="A160" s="15">
        <v>159</v>
      </c>
      <c r="B160" s="16">
        <v>1151495</v>
      </c>
      <c r="C160" s="4" t="s">
        <v>943</v>
      </c>
      <c r="D160" s="25" t="s">
        <v>3033</v>
      </c>
      <c r="E160" s="25" t="s">
        <v>17</v>
      </c>
      <c r="F160" s="4">
        <v>777519188</v>
      </c>
      <c r="G160" s="4">
        <v>437445</v>
      </c>
      <c r="H160" s="26">
        <v>1</v>
      </c>
      <c r="I160" s="28">
        <v>45740</v>
      </c>
      <c r="J160" s="27" t="s">
        <v>945</v>
      </c>
    </row>
    <row r="161" spans="1:10" thickTop="1" thickBot="1" x14ac:dyDescent="0.6">
      <c r="A161" s="15">
        <v>160</v>
      </c>
      <c r="B161" s="16">
        <v>1150119</v>
      </c>
      <c r="C161" s="4" t="s">
        <v>275</v>
      </c>
      <c r="D161" s="25" t="s">
        <v>276</v>
      </c>
      <c r="E161" s="25" t="s">
        <v>23</v>
      </c>
      <c r="F161" s="4">
        <v>773988928</v>
      </c>
      <c r="G161" s="4">
        <v>614086</v>
      </c>
      <c r="H161" s="26">
        <v>1</v>
      </c>
      <c r="J161" s="27">
        <v>196231803017</v>
      </c>
    </row>
    <row r="162" spans="1:10" thickTop="1" thickBot="1" x14ac:dyDescent="0.6">
      <c r="A162" s="15">
        <v>161</v>
      </c>
      <c r="B162" s="16">
        <v>1150961</v>
      </c>
      <c r="C162" s="4" t="s">
        <v>277</v>
      </c>
      <c r="D162" s="25" t="s">
        <v>278</v>
      </c>
      <c r="E162" s="25" t="s">
        <v>57</v>
      </c>
      <c r="F162" s="4">
        <v>774691355</v>
      </c>
      <c r="G162" s="4">
        <v>303530</v>
      </c>
      <c r="H162" s="26">
        <v>1</v>
      </c>
      <c r="I162" s="28">
        <v>45586</v>
      </c>
      <c r="J162" s="27" t="s">
        <v>279</v>
      </c>
    </row>
    <row r="163" spans="1:10" thickTop="1" thickBot="1" x14ac:dyDescent="0.6">
      <c r="A163" s="15">
        <v>162</v>
      </c>
      <c r="B163" s="16">
        <v>1151100</v>
      </c>
      <c r="C163" s="4" t="s">
        <v>280</v>
      </c>
      <c r="E163" s="25" t="s">
        <v>23</v>
      </c>
      <c r="F163" s="4">
        <v>777658433</v>
      </c>
      <c r="G163" s="4">
        <v>338536</v>
      </c>
      <c r="H163" s="26">
        <v>1</v>
      </c>
      <c r="I163" s="28">
        <v>45603</v>
      </c>
    </row>
    <row r="164" spans="1:10" thickTop="1" thickBot="1" x14ac:dyDescent="0.6">
      <c r="A164" s="15">
        <v>163</v>
      </c>
      <c r="B164" s="16">
        <v>1150409</v>
      </c>
      <c r="C164" s="4" t="s">
        <v>281</v>
      </c>
      <c r="D164" s="25" t="s">
        <v>282</v>
      </c>
      <c r="E164" s="25" t="s">
        <v>43</v>
      </c>
      <c r="F164" s="4">
        <v>714401485</v>
      </c>
      <c r="G164" s="4" t="str">
        <f>"0"&amp;96142</f>
        <v>096142</v>
      </c>
      <c r="H164" s="26">
        <v>1</v>
      </c>
      <c r="I164" s="28">
        <v>44943</v>
      </c>
      <c r="J164" s="27">
        <v>197506702280</v>
      </c>
    </row>
    <row r="165" spans="1:10" thickTop="1" thickBot="1" x14ac:dyDescent="0.6">
      <c r="A165" s="15">
        <v>164</v>
      </c>
      <c r="B165" s="16">
        <v>1151496</v>
      </c>
      <c r="C165" s="4" t="s">
        <v>3034</v>
      </c>
      <c r="D165" s="25" t="s">
        <v>3035</v>
      </c>
      <c r="E165" s="25" t="s">
        <v>6</v>
      </c>
      <c r="F165" s="4" t="s">
        <v>3036</v>
      </c>
      <c r="G165" s="4">
        <v>577018</v>
      </c>
      <c r="H165" s="26">
        <v>1</v>
      </c>
      <c r="I165" s="28">
        <v>45771</v>
      </c>
      <c r="J165" s="27" t="s">
        <v>3037</v>
      </c>
    </row>
    <row r="166" spans="1:10" thickTop="1" thickBot="1" x14ac:dyDescent="0.6">
      <c r="A166" s="15">
        <v>165</v>
      </c>
      <c r="B166" s="16">
        <v>1150871</v>
      </c>
      <c r="C166" s="4" t="s">
        <v>283</v>
      </c>
      <c r="D166" s="25" t="s">
        <v>284</v>
      </c>
      <c r="E166" s="25" t="s">
        <v>43</v>
      </c>
      <c r="F166" s="4" t="s">
        <v>285</v>
      </c>
      <c r="G166" s="4">
        <v>104821</v>
      </c>
      <c r="H166" s="26">
        <v>1</v>
      </c>
      <c r="I166" s="28">
        <v>45571</v>
      </c>
      <c r="J166" s="27" t="s">
        <v>286</v>
      </c>
    </row>
    <row r="167" spans="1:10" thickTop="1" thickBot="1" x14ac:dyDescent="0.6">
      <c r="A167" s="15">
        <v>166</v>
      </c>
      <c r="B167" s="16">
        <v>1151497</v>
      </c>
      <c r="C167" s="4" t="s">
        <v>3038</v>
      </c>
      <c r="D167" s="25" t="s">
        <v>288</v>
      </c>
      <c r="E167" s="25" t="s">
        <v>43</v>
      </c>
      <c r="F167" s="4">
        <v>777623786</v>
      </c>
      <c r="G167" s="4">
        <v>518442</v>
      </c>
      <c r="H167" s="26">
        <v>1</v>
      </c>
      <c r="I167" s="28">
        <v>45771</v>
      </c>
      <c r="J167" s="27" t="s">
        <v>3039</v>
      </c>
    </row>
    <row r="168" spans="1:10" thickTop="1" thickBot="1" x14ac:dyDescent="0.6">
      <c r="A168" s="15">
        <v>167</v>
      </c>
      <c r="B168" s="16">
        <v>1151505</v>
      </c>
      <c r="C168" s="4" t="s">
        <v>3073</v>
      </c>
      <c r="D168" s="25" t="s">
        <v>3074</v>
      </c>
      <c r="E168" s="25" t="s">
        <v>23</v>
      </c>
      <c r="F168" s="4">
        <v>776063152</v>
      </c>
      <c r="G168" s="4">
        <v>671316</v>
      </c>
      <c r="H168" s="26">
        <v>1</v>
      </c>
      <c r="I168" s="28">
        <v>45789</v>
      </c>
      <c r="J168" s="27" t="s">
        <v>571</v>
      </c>
    </row>
    <row r="169" spans="1:10" thickTop="1" thickBot="1" x14ac:dyDescent="0.6">
      <c r="A169" s="15">
        <v>168</v>
      </c>
      <c r="B169" s="16">
        <v>1151510</v>
      </c>
      <c r="C169" s="4" t="s">
        <v>3084</v>
      </c>
      <c r="D169" s="25" t="s">
        <v>883</v>
      </c>
      <c r="E169" s="25" t="s">
        <v>78</v>
      </c>
      <c r="F169" s="4" t="s">
        <v>3085</v>
      </c>
      <c r="G169" s="4">
        <v>633902</v>
      </c>
      <c r="H169" s="26">
        <v>1</v>
      </c>
      <c r="I169" s="28">
        <v>45793</v>
      </c>
      <c r="J169" s="27">
        <v>200952403296</v>
      </c>
    </row>
    <row r="170" spans="1:10" thickTop="1" thickBot="1" x14ac:dyDescent="0.6">
      <c r="A170" s="15">
        <v>169</v>
      </c>
      <c r="B170" s="16">
        <v>1150658</v>
      </c>
      <c r="C170" s="4" t="s">
        <v>287</v>
      </c>
      <c r="D170" s="25" t="s">
        <v>288</v>
      </c>
      <c r="E170" s="25" t="s">
        <v>78</v>
      </c>
      <c r="F170" s="4">
        <v>777323943</v>
      </c>
      <c r="G170" s="4">
        <v>159437</v>
      </c>
      <c r="H170" s="26">
        <v>1</v>
      </c>
      <c r="I170" s="28">
        <v>45389</v>
      </c>
      <c r="J170" s="27" t="s">
        <v>289</v>
      </c>
    </row>
    <row r="171" spans="1:10" thickTop="1" thickBot="1" x14ac:dyDescent="0.6">
      <c r="A171" s="15">
        <v>170</v>
      </c>
      <c r="B171" s="16">
        <v>1150407</v>
      </c>
      <c r="C171" s="4" t="s">
        <v>290</v>
      </c>
      <c r="D171" s="25" t="s">
        <v>291</v>
      </c>
      <c r="E171" s="25" t="s">
        <v>249</v>
      </c>
      <c r="F171" s="4" t="s">
        <v>292</v>
      </c>
      <c r="G171" s="4" t="str">
        <f>"0"&amp;91770</f>
        <v>091770</v>
      </c>
      <c r="H171" s="26">
        <v>1</v>
      </c>
      <c r="I171" s="28">
        <v>44936</v>
      </c>
      <c r="J171" s="27">
        <v>200234502516</v>
      </c>
    </row>
    <row r="172" spans="1:10" thickTop="1" thickBot="1" x14ac:dyDescent="0.6">
      <c r="A172" s="15">
        <v>171</v>
      </c>
      <c r="B172" s="16">
        <v>1151364</v>
      </c>
      <c r="C172" s="4" t="s">
        <v>2695</v>
      </c>
      <c r="E172" s="25" t="s">
        <v>23</v>
      </c>
      <c r="F172" s="4" t="s">
        <v>2696</v>
      </c>
      <c r="G172" s="4">
        <v>590375</v>
      </c>
      <c r="H172" s="26">
        <v>1</v>
      </c>
      <c r="I172" s="28">
        <v>45690</v>
      </c>
      <c r="J172" s="27" t="s">
        <v>2697</v>
      </c>
    </row>
    <row r="173" spans="1:10" thickTop="1" thickBot="1" x14ac:dyDescent="0.6">
      <c r="A173" s="15">
        <v>172</v>
      </c>
      <c r="B173" s="16">
        <v>1150390</v>
      </c>
      <c r="C173" s="4" t="s">
        <v>3089</v>
      </c>
      <c r="D173" s="25" t="s">
        <v>194</v>
      </c>
      <c r="E173" s="25" t="s">
        <v>17</v>
      </c>
      <c r="F173" s="4">
        <v>777711038</v>
      </c>
      <c r="G173" s="4">
        <v>84171</v>
      </c>
      <c r="H173" s="26">
        <v>1</v>
      </c>
      <c r="I173" s="28">
        <v>45797</v>
      </c>
      <c r="J173" s="27">
        <v>199034100833</v>
      </c>
    </row>
    <row r="174" spans="1:10" thickTop="1" thickBot="1" x14ac:dyDescent="0.6">
      <c r="A174" s="15">
        <v>173</v>
      </c>
      <c r="B174" s="16">
        <v>1151515</v>
      </c>
      <c r="C174" s="4" t="s">
        <v>3103</v>
      </c>
      <c r="D174" s="25" t="s">
        <v>3104</v>
      </c>
      <c r="E174" s="25" t="s">
        <v>3105</v>
      </c>
      <c r="F174" s="4">
        <v>763903950</v>
      </c>
      <c r="G174" s="4">
        <v>141385</v>
      </c>
      <c r="H174" s="26">
        <v>1</v>
      </c>
      <c r="I174" s="28">
        <v>45806</v>
      </c>
      <c r="J174" s="27">
        <v>197526303916</v>
      </c>
    </row>
    <row r="175" spans="1:10" thickTop="1" thickBot="1" x14ac:dyDescent="0.6">
      <c r="A175" s="15">
        <v>174</v>
      </c>
      <c r="B175" s="16">
        <v>1150215</v>
      </c>
      <c r="C175" s="4" t="s">
        <v>293</v>
      </c>
      <c r="D175" s="25" t="s">
        <v>294</v>
      </c>
      <c r="E175" s="25" t="s">
        <v>249</v>
      </c>
      <c r="F175" s="4">
        <v>774067122</v>
      </c>
      <c r="G175" s="4">
        <v>117427</v>
      </c>
      <c r="H175" s="26">
        <v>1</v>
      </c>
      <c r="I175" s="28">
        <v>45508</v>
      </c>
      <c r="J175" s="27" t="s">
        <v>295</v>
      </c>
    </row>
    <row r="176" spans="1:10" thickTop="1" thickBot="1" x14ac:dyDescent="0.6">
      <c r="A176" s="15">
        <v>175</v>
      </c>
      <c r="B176" s="16">
        <v>1150947</v>
      </c>
      <c r="C176" s="4" t="s">
        <v>296</v>
      </c>
      <c r="D176" s="25" t="s">
        <v>297</v>
      </c>
      <c r="E176" s="25" t="s">
        <v>23</v>
      </c>
      <c r="F176" s="4">
        <v>719531621</v>
      </c>
      <c r="G176" s="4">
        <v>181415</v>
      </c>
      <c r="H176" s="26">
        <v>1</v>
      </c>
      <c r="I176" s="28">
        <v>45582</v>
      </c>
    </row>
    <row r="177" spans="1:10" thickTop="1" thickBot="1" x14ac:dyDescent="0.6">
      <c r="A177" s="15">
        <v>176</v>
      </c>
      <c r="C177" s="4" t="s">
        <v>3108</v>
      </c>
      <c r="D177" s="25" t="s">
        <v>576</v>
      </c>
      <c r="E177" s="25" t="s">
        <v>17</v>
      </c>
      <c r="F177" s="4">
        <v>765798143</v>
      </c>
      <c r="I177" s="28">
        <v>45806</v>
      </c>
      <c r="J177" s="27">
        <v>199650410091</v>
      </c>
    </row>
    <row r="178" spans="1:10" thickTop="1" thickBot="1" x14ac:dyDescent="0.6">
      <c r="A178" s="15">
        <v>177</v>
      </c>
      <c r="B178" s="16">
        <v>1150048</v>
      </c>
      <c r="C178" s="4" t="s">
        <v>298</v>
      </c>
      <c r="D178" s="25" t="s">
        <v>299</v>
      </c>
      <c r="E178" s="25" t="s">
        <v>6</v>
      </c>
      <c r="F178" s="4">
        <v>766679145</v>
      </c>
      <c r="G178" s="4">
        <v>533278</v>
      </c>
      <c r="H178" s="26">
        <v>1</v>
      </c>
      <c r="J178" s="27" t="s">
        <v>300</v>
      </c>
    </row>
    <row r="179" spans="1:10" thickTop="1" thickBot="1" x14ac:dyDescent="0.6">
      <c r="A179" s="15">
        <v>178</v>
      </c>
      <c r="B179" s="16">
        <v>1150082</v>
      </c>
      <c r="C179" s="4" t="s">
        <v>301</v>
      </c>
      <c r="E179" s="25" t="s">
        <v>238</v>
      </c>
      <c r="F179" s="4" t="s">
        <v>302</v>
      </c>
      <c r="G179" s="4">
        <v>670674</v>
      </c>
      <c r="H179" s="26">
        <v>1</v>
      </c>
      <c r="I179" s="28">
        <v>44325</v>
      </c>
      <c r="J179" s="27" t="s">
        <v>303</v>
      </c>
    </row>
    <row r="180" spans="1:10" thickTop="1" thickBot="1" x14ac:dyDescent="0.6">
      <c r="A180" s="15">
        <v>179</v>
      </c>
      <c r="B180" s="16">
        <v>1150067</v>
      </c>
      <c r="C180" s="4" t="s">
        <v>304</v>
      </c>
      <c r="E180" s="25" t="s">
        <v>52</v>
      </c>
      <c r="F180" s="4">
        <v>776992136</v>
      </c>
      <c r="G180" s="4">
        <v>738612</v>
      </c>
      <c r="H180" s="26">
        <v>1</v>
      </c>
      <c r="J180" s="27" t="s">
        <v>305</v>
      </c>
    </row>
    <row r="181" spans="1:10" thickTop="1" thickBot="1" x14ac:dyDescent="0.6">
      <c r="A181" s="15">
        <v>180</v>
      </c>
      <c r="B181" s="16">
        <v>1150484</v>
      </c>
      <c r="C181" s="4" t="s">
        <v>306</v>
      </c>
      <c r="D181" s="25" t="s">
        <v>243</v>
      </c>
      <c r="E181" s="25" t="s">
        <v>6</v>
      </c>
      <c r="F181" s="4">
        <v>773462913</v>
      </c>
      <c r="G181" s="4" t="str">
        <f>"0"&amp;17882</f>
        <v>017882</v>
      </c>
      <c r="H181" s="26">
        <v>1</v>
      </c>
      <c r="I181" s="28">
        <v>45109</v>
      </c>
      <c r="J181" s="27" t="s">
        <v>307</v>
      </c>
    </row>
    <row r="182" spans="1:10" thickTop="1" thickBot="1" x14ac:dyDescent="0.6">
      <c r="A182" s="15">
        <v>181</v>
      </c>
      <c r="B182" s="16">
        <v>1150810</v>
      </c>
      <c r="C182" s="4" t="s">
        <v>2944</v>
      </c>
      <c r="D182" s="25" t="s">
        <v>308</v>
      </c>
      <c r="E182" s="25" t="s">
        <v>249</v>
      </c>
      <c r="F182" s="4">
        <v>769373580</v>
      </c>
      <c r="G182" s="4">
        <v>133499</v>
      </c>
      <c r="H182" s="26">
        <v>1</v>
      </c>
      <c r="I182" s="28">
        <v>45534</v>
      </c>
      <c r="J182" s="27" t="s">
        <v>309</v>
      </c>
    </row>
    <row r="183" spans="1:10" thickTop="1" thickBot="1" x14ac:dyDescent="0.6">
      <c r="A183" s="15">
        <v>182</v>
      </c>
      <c r="B183" s="16">
        <v>1150563</v>
      </c>
      <c r="C183" s="4" t="s">
        <v>310</v>
      </c>
      <c r="D183" s="25" t="s">
        <v>311</v>
      </c>
      <c r="E183" s="25" t="s">
        <v>78</v>
      </c>
      <c r="F183" s="4">
        <v>777722950</v>
      </c>
      <c r="G183" s="4">
        <v>114473</v>
      </c>
      <c r="H183" s="26">
        <v>1</v>
      </c>
      <c r="I183" s="28">
        <v>45281</v>
      </c>
      <c r="J183" s="27">
        <v>200405013380</v>
      </c>
    </row>
    <row r="184" spans="1:10" thickTop="1" thickBot="1" x14ac:dyDescent="0.6">
      <c r="A184" s="15">
        <v>183</v>
      </c>
      <c r="B184" s="16">
        <v>1151520</v>
      </c>
      <c r="C184" s="4" t="s">
        <v>3115</v>
      </c>
      <c r="E184" s="25" t="s">
        <v>3116</v>
      </c>
      <c r="F184" s="4">
        <v>717204143</v>
      </c>
      <c r="G184" s="4">
        <v>648249</v>
      </c>
      <c r="H184" s="26">
        <v>1</v>
      </c>
      <c r="I184" s="28">
        <v>45811</v>
      </c>
    </row>
    <row r="185" spans="1:10" thickTop="1" thickBot="1" x14ac:dyDescent="0.6">
      <c r="A185" s="15">
        <v>184</v>
      </c>
      <c r="B185" s="16">
        <v>1151521</v>
      </c>
      <c r="C185" s="4" t="s">
        <v>3117</v>
      </c>
      <c r="D185" s="25" t="s">
        <v>3118</v>
      </c>
      <c r="E185" s="25" t="s">
        <v>161</v>
      </c>
      <c r="F185" s="4">
        <v>762161219</v>
      </c>
      <c r="G185" s="4">
        <v>473689</v>
      </c>
      <c r="H185" s="26">
        <v>1</v>
      </c>
      <c r="I185" s="28">
        <v>45811</v>
      </c>
      <c r="J185" s="27">
        <v>199831001984</v>
      </c>
    </row>
    <row r="186" spans="1:10" thickTop="1" thickBot="1" x14ac:dyDescent="0.6">
      <c r="A186" s="15">
        <v>185</v>
      </c>
      <c r="B186" s="16">
        <v>1151533</v>
      </c>
      <c r="C186" s="4" t="s">
        <v>312</v>
      </c>
      <c r="D186" s="25" t="s">
        <v>313</v>
      </c>
      <c r="E186" s="25" t="s">
        <v>23</v>
      </c>
      <c r="F186" s="4" t="s">
        <v>314</v>
      </c>
      <c r="G186" s="4">
        <v>658514</v>
      </c>
      <c r="H186" s="26">
        <v>1</v>
      </c>
    </row>
    <row r="187" spans="1:10" thickTop="1" thickBot="1" x14ac:dyDescent="0.6">
      <c r="A187" s="15">
        <v>186</v>
      </c>
      <c r="B187" s="16">
        <v>1151524</v>
      </c>
      <c r="C187" s="4" t="s">
        <v>3127</v>
      </c>
      <c r="D187" s="25" t="s">
        <v>3128</v>
      </c>
      <c r="E187" s="25" t="s">
        <v>78</v>
      </c>
      <c r="F187" s="4">
        <v>715891275</v>
      </c>
      <c r="G187" s="4">
        <v>625643</v>
      </c>
      <c r="H187" s="26">
        <v>1</v>
      </c>
      <c r="I187" s="28">
        <v>45814</v>
      </c>
      <c r="J187" s="27" t="s">
        <v>3129</v>
      </c>
    </row>
    <row r="188" spans="1:10" thickTop="1" thickBot="1" x14ac:dyDescent="0.6">
      <c r="A188" s="15">
        <v>187</v>
      </c>
      <c r="B188" s="16">
        <v>1151525</v>
      </c>
      <c r="C188" s="4" t="s">
        <v>3130</v>
      </c>
      <c r="D188" s="25" t="s">
        <v>3131</v>
      </c>
      <c r="E188" s="25" t="s">
        <v>249</v>
      </c>
      <c r="F188" s="4">
        <v>716572076</v>
      </c>
      <c r="G188" s="4">
        <v>593239</v>
      </c>
      <c r="H188" s="26">
        <v>1</v>
      </c>
      <c r="I188" s="28">
        <v>45814</v>
      </c>
      <c r="J188" s="27" t="s">
        <v>3132</v>
      </c>
    </row>
    <row r="189" spans="1:10" thickTop="1" thickBot="1" x14ac:dyDescent="0.6">
      <c r="A189" s="15">
        <v>188</v>
      </c>
      <c r="B189" s="16">
        <v>1150786</v>
      </c>
      <c r="C189" s="4" t="s">
        <v>315</v>
      </c>
      <c r="E189" s="25" t="s">
        <v>316</v>
      </c>
      <c r="F189" s="4" t="s">
        <v>317</v>
      </c>
      <c r="G189" s="4" t="s">
        <v>318</v>
      </c>
      <c r="H189" s="26">
        <v>8</v>
      </c>
      <c r="I189" s="28">
        <v>45527</v>
      </c>
      <c r="J189" s="27" t="s">
        <v>319</v>
      </c>
    </row>
    <row r="190" spans="1:10" thickTop="1" thickBot="1" x14ac:dyDescent="0.6">
      <c r="A190" s="15">
        <v>189</v>
      </c>
      <c r="B190" s="16">
        <v>1151529</v>
      </c>
      <c r="C190" s="4" t="s">
        <v>3142</v>
      </c>
      <c r="D190" s="25" t="s">
        <v>3143</v>
      </c>
      <c r="E190" s="25" t="s">
        <v>43</v>
      </c>
      <c r="F190" s="4">
        <v>776541423</v>
      </c>
      <c r="G190" s="4">
        <v>671076</v>
      </c>
      <c r="H190" s="26">
        <v>1</v>
      </c>
      <c r="I190" s="28">
        <v>45820</v>
      </c>
      <c r="J190" s="27" t="s">
        <v>3144</v>
      </c>
    </row>
    <row r="191" spans="1:10" thickTop="1" thickBot="1" x14ac:dyDescent="0.6">
      <c r="A191" s="15">
        <v>190</v>
      </c>
      <c r="B191" s="16">
        <v>1150049</v>
      </c>
      <c r="C191" s="4" t="s">
        <v>320</v>
      </c>
      <c r="D191" s="25" t="s">
        <v>321</v>
      </c>
      <c r="E191" s="25" t="s">
        <v>24</v>
      </c>
      <c r="F191" s="4">
        <v>777236603</v>
      </c>
      <c r="G191" s="4">
        <v>659313</v>
      </c>
      <c r="H191" s="26">
        <v>1</v>
      </c>
      <c r="J191" s="27">
        <v>197201502525</v>
      </c>
    </row>
    <row r="192" spans="1:10" thickTop="1" thickBot="1" x14ac:dyDescent="0.6">
      <c r="A192" s="15">
        <v>191</v>
      </c>
      <c r="B192" s="16">
        <v>1151337</v>
      </c>
      <c r="C192" s="4" t="s">
        <v>322</v>
      </c>
      <c r="D192" s="25" t="s">
        <v>323</v>
      </c>
      <c r="E192" s="25" t="s">
        <v>57</v>
      </c>
      <c r="F192" s="4" t="s">
        <v>324</v>
      </c>
      <c r="G192" s="4">
        <v>167570</v>
      </c>
      <c r="H192" s="26">
        <v>1</v>
      </c>
      <c r="I192" s="28">
        <v>45635</v>
      </c>
      <c r="J192" s="27" t="s">
        <v>325</v>
      </c>
    </row>
    <row r="193" spans="1:10" thickTop="1" thickBot="1" x14ac:dyDescent="0.6">
      <c r="A193" s="15">
        <v>192</v>
      </c>
      <c r="B193" s="16">
        <v>1151263</v>
      </c>
      <c r="C193" s="4" t="s">
        <v>326</v>
      </c>
      <c r="E193" s="25" t="s">
        <v>249</v>
      </c>
      <c r="F193" s="4">
        <v>779874629</v>
      </c>
      <c r="G193" s="4">
        <v>337090</v>
      </c>
      <c r="H193" s="26">
        <v>1</v>
      </c>
      <c r="I193" s="28">
        <v>45610</v>
      </c>
    </row>
    <row r="194" spans="1:10" thickTop="1" thickBot="1" x14ac:dyDescent="0.6">
      <c r="A194" s="15">
        <v>193</v>
      </c>
      <c r="B194" s="16">
        <v>1151204</v>
      </c>
      <c r="C194" s="4" t="s">
        <v>327</v>
      </c>
      <c r="D194" s="25" t="s">
        <v>328</v>
      </c>
      <c r="E194" s="25" t="s">
        <v>249</v>
      </c>
      <c r="F194" s="4">
        <v>771717737</v>
      </c>
      <c r="G194" s="4">
        <v>367139</v>
      </c>
      <c r="H194" s="26">
        <v>1</v>
      </c>
      <c r="I194" s="28">
        <v>45607</v>
      </c>
      <c r="J194" s="27" t="s">
        <v>329</v>
      </c>
    </row>
    <row r="195" spans="1:10" thickTop="1" thickBot="1" x14ac:dyDescent="0.6">
      <c r="A195" s="15">
        <v>194</v>
      </c>
    </row>
    <row r="196" spans="1:10" thickTop="1" thickBot="1" x14ac:dyDescent="0.6">
      <c r="A196" s="15">
        <v>195</v>
      </c>
      <c r="B196" s="16">
        <v>1151485</v>
      </c>
      <c r="C196" s="4" t="s">
        <v>3145</v>
      </c>
      <c r="D196" s="25" t="s">
        <v>622</v>
      </c>
      <c r="E196" s="25" t="s">
        <v>23</v>
      </c>
      <c r="F196" s="4">
        <v>773758239</v>
      </c>
      <c r="G196" s="4">
        <v>648991</v>
      </c>
      <c r="H196" s="26">
        <v>1</v>
      </c>
      <c r="I196" s="28">
        <v>45823</v>
      </c>
      <c r="J196" s="27" t="s">
        <v>3146</v>
      </c>
    </row>
    <row r="197" spans="1:10" thickTop="1" thickBot="1" x14ac:dyDescent="0.6">
      <c r="A197" s="15">
        <v>196</v>
      </c>
      <c r="B197" s="16">
        <v>1150457</v>
      </c>
      <c r="C197" s="4" t="s">
        <v>330</v>
      </c>
      <c r="E197" s="25" t="s">
        <v>43</v>
      </c>
      <c r="F197" s="4">
        <v>777448729</v>
      </c>
      <c r="G197" s="4" t="str">
        <f>"0"&amp;53457</f>
        <v>053457</v>
      </c>
      <c r="H197" s="26">
        <v>1</v>
      </c>
      <c r="I197" s="28">
        <v>45047</v>
      </c>
      <c r="J197" s="27" t="s">
        <v>331</v>
      </c>
    </row>
    <row r="198" spans="1:10" thickTop="1" thickBot="1" x14ac:dyDescent="0.6">
      <c r="A198" s="15">
        <v>197</v>
      </c>
      <c r="B198" s="16">
        <v>1151442</v>
      </c>
      <c r="C198" s="4" t="s">
        <v>2872</v>
      </c>
      <c r="D198" s="25" t="s">
        <v>2873</v>
      </c>
      <c r="E198" s="25" t="s">
        <v>249</v>
      </c>
      <c r="F198" s="4">
        <v>724910556</v>
      </c>
      <c r="G198" s="4">
        <v>474646</v>
      </c>
      <c r="H198" s="26">
        <v>1</v>
      </c>
      <c r="I198" s="28">
        <v>45740</v>
      </c>
      <c r="J198" s="27" t="s">
        <v>2874</v>
      </c>
    </row>
    <row r="199" spans="1:10" thickTop="1" thickBot="1" x14ac:dyDescent="0.6">
      <c r="A199" s="15">
        <v>198</v>
      </c>
      <c r="B199" s="16">
        <v>1150462</v>
      </c>
      <c r="C199" s="4" t="s">
        <v>306</v>
      </c>
      <c r="D199" s="25" t="s">
        <v>239</v>
      </c>
      <c r="E199" s="25" t="s">
        <v>238</v>
      </c>
      <c r="F199" s="4">
        <v>773462913</v>
      </c>
      <c r="G199" s="4">
        <v>118763</v>
      </c>
      <c r="H199" s="26">
        <v>1</v>
      </c>
      <c r="I199" s="28">
        <v>45058</v>
      </c>
      <c r="J199" s="27" t="s">
        <v>307</v>
      </c>
    </row>
    <row r="200" spans="1:10" thickTop="1" thickBot="1" x14ac:dyDescent="0.6">
      <c r="A200" s="15">
        <v>199</v>
      </c>
      <c r="B200" s="16">
        <v>1150110</v>
      </c>
      <c r="C200" s="4" t="s">
        <v>3147</v>
      </c>
      <c r="D200" s="25" t="s">
        <v>3148</v>
      </c>
      <c r="E200" s="25" t="s">
        <v>78</v>
      </c>
      <c r="F200" s="4" t="s">
        <v>3149</v>
      </c>
      <c r="G200" s="4">
        <v>632359</v>
      </c>
      <c r="H200" s="26">
        <v>1</v>
      </c>
      <c r="I200" s="28">
        <v>45823</v>
      </c>
      <c r="J200" s="27" t="s">
        <v>3150</v>
      </c>
    </row>
    <row r="201" spans="1:10" thickTop="1" thickBot="1" x14ac:dyDescent="0.6">
      <c r="A201" s="15">
        <v>200</v>
      </c>
      <c r="B201" s="16">
        <v>1151347</v>
      </c>
      <c r="C201" s="4" t="s">
        <v>2937</v>
      </c>
      <c r="D201" s="25" t="s">
        <v>3278</v>
      </c>
      <c r="E201" s="25" t="s">
        <v>43</v>
      </c>
      <c r="F201" s="4">
        <v>718776166</v>
      </c>
      <c r="G201" s="4">
        <v>649007</v>
      </c>
      <c r="H201" s="26">
        <v>1</v>
      </c>
      <c r="I201" s="28">
        <v>45680</v>
      </c>
    </row>
    <row r="202" spans="1:10" thickTop="1" thickBot="1" x14ac:dyDescent="0.6">
      <c r="A202" s="15">
        <v>201</v>
      </c>
      <c r="B202" s="16">
        <v>1150413</v>
      </c>
      <c r="C202" s="4" t="s">
        <v>332</v>
      </c>
      <c r="D202" s="25" t="s">
        <v>333</v>
      </c>
      <c r="E202" s="25" t="s">
        <v>238</v>
      </c>
      <c r="F202" s="4">
        <v>715943415</v>
      </c>
      <c r="G202" s="4">
        <v>134109</v>
      </c>
      <c r="H202" s="26">
        <v>1</v>
      </c>
      <c r="I202" s="28">
        <v>44952</v>
      </c>
      <c r="J202" s="27" t="s">
        <v>334</v>
      </c>
    </row>
    <row r="203" spans="1:10" thickTop="1" thickBot="1" x14ac:dyDescent="0.6">
      <c r="A203" s="15">
        <v>202</v>
      </c>
      <c r="B203" s="16">
        <v>1150265</v>
      </c>
      <c r="C203" s="4" t="s">
        <v>3255</v>
      </c>
      <c r="D203" s="25" t="s">
        <v>3256</v>
      </c>
      <c r="E203" s="25" t="s">
        <v>3257</v>
      </c>
      <c r="F203" s="4">
        <v>729066870</v>
      </c>
      <c r="G203" s="4" t="s">
        <v>3258</v>
      </c>
      <c r="H203" s="26">
        <v>4</v>
      </c>
      <c r="I203" s="28">
        <v>45826</v>
      </c>
    </row>
    <row r="204" spans="1:10" thickTop="1" thickBot="1" x14ac:dyDescent="0.6">
      <c r="A204" s="15">
        <v>203</v>
      </c>
      <c r="B204" s="16">
        <v>1150465</v>
      </c>
      <c r="C204" s="4" t="s">
        <v>335</v>
      </c>
      <c r="D204" s="25" t="s">
        <v>336</v>
      </c>
      <c r="E204" s="25" t="s">
        <v>238</v>
      </c>
      <c r="F204" s="4" t="s">
        <v>337</v>
      </c>
      <c r="G204" s="4" t="s">
        <v>338</v>
      </c>
      <c r="H204" s="26">
        <v>1</v>
      </c>
      <c r="I204" s="28">
        <v>45063</v>
      </c>
      <c r="J204" s="27" t="s">
        <v>339</v>
      </c>
    </row>
    <row r="205" spans="1:10" thickTop="1" thickBot="1" x14ac:dyDescent="0.6">
      <c r="A205" s="15">
        <v>204</v>
      </c>
      <c r="B205" s="16">
        <v>1150648</v>
      </c>
      <c r="C205" s="4" t="s">
        <v>340</v>
      </c>
      <c r="D205" s="25" t="s">
        <v>341</v>
      </c>
      <c r="E205" s="25" t="s">
        <v>249</v>
      </c>
      <c r="F205" s="4">
        <v>717859065</v>
      </c>
      <c r="G205" s="4">
        <v>114523</v>
      </c>
      <c r="H205" s="26">
        <v>1</v>
      </c>
      <c r="I205" s="28">
        <v>45351</v>
      </c>
      <c r="J205" s="27" t="s">
        <v>342</v>
      </c>
    </row>
    <row r="206" spans="1:10" thickTop="1" thickBot="1" x14ac:dyDescent="0.6">
      <c r="A206" s="15">
        <v>205</v>
      </c>
      <c r="B206" s="16">
        <v>1150633</v>
      </c>
      <c r="C206" s="4" t="s">
        <v>343</v>
      </c>
      <c r="D206" s="25" t="s">
        <v>344</v>
      </c>
      <c r="E206" s="25" t="s">
        <v>52</v>
      </c>
      <c r="F206" s="4">
        <v>718316047</v>
      </c>
      <c r="G206" s="4" t="str">
        <f>"0"&amp;61054</f>
        <v>061054</v>
      </c>
      <c r="H206" s="26">
        <v>1</v>
      </c>
      <c r="I206" s="28">
        <v>45325</v>
      </c>
      <c r="J206" s="27" t="s">
        <v>345</v>
      </c>
    </row>
    <row r="207" spans="1:10" thickTop="1" thickBot="1" x14ac:dyDescent="0.6">
      <c r="A207" s="15">
        <v>206</v>
      </c>
      <c r="B207" s="16">
        <v>1150017</v>
      </c>
      <c r="C207" s="4" t="s">
        <v>548</v>
      </c>
      <c r="D207" s="25" t="s">
        <v>3153</v>
      </c>
      <c r="E207" s="25" t="s">
        <v>23</v>
      </c>
      <c r="F207" s="4" t="s">
        <v>3154</v>
      </c>
      <c r="G207" s="4">
        <v>480882</v>
      </c>
      <c r="H207" s="26">
        <v>1</v>
      </c>
      <c r="I207" s="28">
        <v>45824</v>
      </c>
      <c r="J207" s="27" t="s">
        <v>3155</v>
      </c>
    </row>
    <row r="208" spans="1:10" thickTop="1" thickBot="1" x14ac:dyDescent="0.6">
      <c r="A208" s="15">
        <v>207</v>
      </c>
      <c r="B208" s="16">
        <v>1151381</v>
      </c>
      <c r="C208" s="4" t="s">
        <v>2721</v>
      </c>
      <c r="D208" s="25" t="s">
        <v>2722</v>
      </c>
      <c r="E208" s="25" t="s">
        <v>249</v>
      </c>
      <c r="F208" s="4" t="s">
        <v>2723</v>
      </c>
      <c r="G208" s="4">
        <v>632086</v>
      </c>
      <c r="H208" s="26">
        <v>1</v>
      </c>
      <c r="I208" s="28">
        <v>45700</v>
      </c>
      <c r="J208" s="27" t="s">
        <v>2724</v>
      </c>
    </row>
    <row r="209" spans="1:10" thickTop="1" thickBot="1" x14ac:dyDescent="0.6">
      <c r="A209" s="15">
        <v>208</v>
      </c>
      <c r="B209" s="16">
        <v>1150593</v>
      </c>
      <c r="C209" s="4" t="s">
        <v>346</v>
      </c>
      <c r="D209" s="25" t="s">
        <v>143</v>
      </c>
      <c r="E209" s="25" t="s">
        <v>43</v>
      </c>
      <c r="F209" s="4">
        <v>774126856</v>
      </c>
      <c r="G209" s="4">
        <v>120074</v>
      </c>
      <c r="H209" s="26">
        <v>1</v>
      </c>
      <c r="I209" s="28">
        <v>45296</v>
      </c>
      <c r="J209" s="27" t="s">
        <v>347</v>
      </c>
    </row>
    <row r="210" spans="1:10" thickTop="1" thickBot="1" x14ac:dyDescent="0.6">
      <c r="A210" s="15">
        <v>209</v>
      </c>
      <c r="B210" s="16" t="s">
        <v>2938</v>
      </c>
      <c r="C210" s="4" t="s">
        <v>348</v>
      </c>
      <c r="D210" s="25" t="s">
        <v>349</v>
      </c>
      <c r="E210" s="25" t="s">
        <v>17</v>
      </c>
      <c r="F210" s="4" t="s">
        <v>350</v>
      </c>
      <c r="G210" s="4" t="s">
        <v>351</v>
      </c>
      <c r="H210" s="26">
        <v>2</v>
      </c>
      <c r="I210" s="28">
        <v>45344</v>
      </c>
      <c r="J210" s="27" t="s">
        <v>352</v>
      </c>
    </row>
    <row r="211" spans="1:10" thickTop="1" thickBot="1" x14ac:dyDescent="0.6">
      <c r="A211" s="15">
        <v>210</v>
      </c>
      <c r="B211" s="16">
        <v>1150801</v>
      </c>
      <c r="C211" s="4" t="s">
        <v>353</v>
      </c>
      <c r="E211" s="25" t="s">
        <v>238</v>
      </c>
      <c r="F211" s="4">
        <v>772027766</v>
      </c>
      <c r="G211" s="4" t="s">
        <v>354</v>
      </c>
      <c r="H211" s="26">
        <v>8</v>
      </c>
      <c r="I211" s="28">
        <v>45533</v>
      </c>
      <c r="J211" s="27">
        <v>197931501026</v>
      </c>
    </row>
    <row r="212" spans="1:10" thickTop="1" thickBot="1" x14ac:dyDescent="0.6">
      <c r="A212" s="15">
        <v>211</v>
      </c>
      <c r="B212" s="16">
        <v>1150047</v>
      </c>
      <c r="C212" s="4" t="s">
        <v>3272</v>
      </c>
      <c r="D212" s="25" t="s">
        <v>3273</v>
      </c>
      <c r="E212" s="25" t="s">
        <v>50</v>
      </c>
      <c r="F212" s="4">
        <v>512223589</v>
      </c>
      <c r="G212" s="4">
        <v>643158</v>
      </c>
      <c r="H212" s="26">
        <v>1</v>
      </c>
      <c r="I212" s="28">
        <v>45832</v>
      </c>
    </row>
    <row r="213" spans="1:10" thickTop="1" thickBot="1" x14ac:dyDescent="0.6">
      <c r="A213" s="15">
        <v>212</v>
      </c>
      <c r="B213" s="16">
        <v>1151190</v>
      </c>
      <c r="C213" s="4" t="s">
        <v>355</v>
      </c>
      <c r="D213" s="25" t="s">
        <v>143</v>
      </c>
      <c r="E213" s="25" t="s">
        <v>43</v>
      </c>
      <c r="F213" s="4" t="s">
        <v>356</v>
      </c>
      <c r="G213" s="4">
        <v>404718</v>
      </c>
      <c r="H213" s="26">
        <v>1</v>
      </c>
      <c r="I213" s="28">
        <v>45606</v>
      </c>
      <c r="J213" s="27">
        <v>196808203339</v>
      </c>
    </row>
    <row r="214" spans="1:10" thickTop="1" thickBot="1" x14ac:dyDescent="0.6">
      <c r="A214" s="15">
        <v>213</v>
      </c>
      <c r="B214" s="16">
        <v>1151545</v>
      </c>
      <c r="C214" s="4" t="s">
        <v>3279</v>
      </c>
      <c r="D214" s="25" t="s">
        <v>1162</v>
      </c>
      <c r="E214" s="25" t="s">
        <v>6</v>
      </c>
      <c r="F214" s="5">
        <v>776080483</v>
      </c>
      <c r="G214" s="4">
        <v>447493</v>
      </c>
      <c r="H214" s="26">
        <v>1</v>
      </c>
      <c r="I214" s="28">
        <v>45837</v>
      </c>
      <c r="J214" s="27" t="s">
        <v>3280</v>
      </c>
    </row>
    <row r="215" spans="1:10" thickTop="1" thickBot="1" x14ac:dyDescent="0.6">
      <c r="A215" s="15">
        <v>214</v>
      </c>
      <c r="B215" s="16">
        <v>1150556</v>
      </c>
      <c r="C215" s="4" t="s">
        <v>357</v>
      </c>
      <c r="D215" s="25" t="s">
        <v>358</v>
      </c>
      <c r="E215" s="25" t="s">
        <v>23</v>
      </c>
      <c r="F215" s="4" t="s">
        <v>359</v>
      </c>
      <c r="G215" s="4">
        <v>125701</v>
      </c>
      <c r="H215" s="26">
        <v>1</v>
      </c>
      <c r="I215" s="28">
        <v>45279</v>
      </c>
      <c r="J215" s="27">
        <v>198451403188</v>
      </c>
    </row>
    <row r="216" spans="1:10" thickTop="1" thickBot="1" x14ac:dyDescent="0.6">
      <c r="A216" s="15">
        <v>215</v>
      </c>
      <c r="B216" s="16" t="s">
        <v>2939</v>
      </c>
      <c r="C216" s="4" t="s">
        <v>360</v>
      </c>
      <c r="D216" s="25" t="s">
        <v>361</v>
      </c>
      <c r="E216" s="25" t="s">
        <v>57</v>
      </c>
      <c r="F216" s="4">
        <v>777861638</v>
      </c>
      <c r="G216" s="4" t="s">
        <v>362</v>
      </c>
      <c r="H216" s="26">
        <v>3</v>
      </c>
      <c r="I216" s="28">
        <v>44965</v>
      </c>
      <c r="J216" s="27" t="s">
        <v>363</v>
      </c>
    </row>
    <row r="217" spans="1:10" thickTop="1" thickBot="1" x14ac:dyDescent="0.6">
      <c r="A217" s="15">
        <v>216</v>
      </c>
      <c r="B217" s="16">
        <v>1151027</v>
      </c>
      <c r="C217" s="4" t="s">
        <v>364</v>
      </c>
      <c r="E217" s="25" t="s">
        <v>23</v>
      </c>
      <c r="F217" s="4">
        <v>774046163</v>
      </c>
      <c r="G217" s="4">
        <v>189160</v>
      </c>
      <c r="H217" s="26">
        <v>1</v>
      </c>
      <c r="I217" s="28">
        <v>45594</v>
      </c>
      <c r="J217" s="27" t="s">
        <v>365</v>
      </c>
    </row>
    <row r="218" spans="1:10" thickTop="1" thickBot="1" x14ac:dyDescent="0.6">
      <c r="A218" s="15">
        <v>217</v>
      </c>
      <c r="B218" s="16">
        <v>1150204</v>
      </c>
      <c r="C218" s="4" t="s">
        <v>366</v>
      </c>
      <c r="D218" s="25" t="s">
        <v>367</v>
      </c>
      <c r="E218" s="25" t="s">
        <v>6</v>
      </c>
      <c r="F218" s="4">
        <v>512222182</v>
      </c>
      <c r="G218" s="4">
        <v>313309</v>
      </c>
      <c r="H218" s="26">
        <v>1</v>
      </c>
      <c r="J218" s="27" t="s">
        <v>368</v>
      </c>
    </row>
    <row r="219" spans="1:10" thickTop="1" thickBot="1" x14ac:dyDescent="0.6">
      <c r="A219" s="15">
        <v>218</v>
      </c>
      <c r="B219" s="16">
        <v>1150050</v>
      </c>
      <c r="C219" s="4" t="s">
        <v>369</v>
      </c>
      <c r="E219" s="25" t="s">
        <v>370</v>
      </c>
      <c r="F219" s="4">
        <v>777861639</v>
      </c>
      <c r="G219" s="4">
        <v>501812</v>
      </c>
      <c r="H219" s="26">
        <v>1</v>
      </c>
    </row>
    <row r="220" spans="1:10" thickTop="1" thickBot="1" x14ac:dyDescent="0.6">
      <c r="A220" s="15">
        <v>219</v>
      </c>
      <c r="B220" s="16">
        <v>1151032</v>
      </c>
      <c r="C220" s="4" t="s">
        <v>3290</v>
      </c>
      <c r="D220" s="25" t="s">
        <v>2797</v>
      </c>
      <c r="E220" s="25" t="s">
        <v>249</v>
      </c>
      <c r="F220" s="4" t="s">
        <v>3291</v>
      </c>
      <c r="G220" s="4">
        <v>197577</v>
      </c>
      <c r="H220" s="26">
        <v>1</v>
      </c>
      <c r="I220" s="28">
        <v>45855</v>
      </c>
      <c r="J220" s="27" t="s">
        <v>3292</v>
      </c>
    </row>
    <row r="221" spans="1:10" thickTop="1" thickBot="1" x14ac:dyDescent="0.6">
      <c r="A221" s="15">
        <v>220</v>
      </c>
      <c r="B221" s="16">
        <v>1151117</v>
      </c>
      <c r="C221" s="4" t="s">
        <v>371</v>
      </c>
      <c r="D221" s="25" t="s">
        <v>274</v>
      </c>
      <c r="E221" s="25" t="s">
        <v>43</v>
      </c>
      <c r="F221" s="4">
        <v>783435898</v>
      </c>
      <c r="G221" s="4">
        <v>460009</v>
      </c>
      <c r="H221" s="26">
        <v>1</v>
      </c>
      <c r="I221" s="28">
        <v>45604</v>
      </c>
      <c r="J221" s="27" t="s">
        <v>372</v>
      </c>
    </row>
    <row r="222" spans="1:10" thickTop="1" thickBot="1" x14ac:dyDescent="0.6">
      <c r="A222" s="15">
        <v>221</v>
      </c>
      <c r="B222" s="16">
        <v>1151205</v>
      </c>
      <c r="C222" s="4" t="s">
        <v>373</v>
      </c>
      <c r="D222" s="25" t="s">
        <v>274</v>
      </c>
      <c r="E222" s="25" t="s">
        <v>43</v>
      </c>
      <c r="F222" s="4" t="s">
        <v>374</v>
      </c>
      <c r="G222" s="4">
        <v>380991</v>
      </c>
      <c r="H222" s="26">
        <v>1</v>
      </c>
      <c r="I222" s="28">
        <v>45607</v>
      </c>
      <c r="J222" s="27" t="s">
        <v>375</v>
      </c>
    </row>
    <row r="223" spans="1:10" thickTop="1" thickBot="1" x14ac:dyDescent="0.6">
      <c r="A223" s="15">
        <v>222</v>
      </c>
      <c r="B223" s="16">
        <v>1150881</v>
      </c>
      <c r="C223" s="4" t="s">
        <v>376</v>
      </c>
      <c r="D223" s="25" t="s">
        <v>377</v>
      </c>
      <c r="E223" s="25" t="s">
        <v>238</v>
      </c>
      <c r="F223" s="4" t="s">
        <v>378</v>
      </c>
      <c r="G223" s="4">
        <v>257082</v>
      </c>
      <c r="H223" s="26">
        <v>1</v>
      </c>
      <c r="I223" s="28">
        <v>45572</v>
      </c>
      <c r="J223" s="27">
        <v>197082902443</v>
      </c>
    </row>
    <row r="224" spans="1:10" thickTop="1" thickBot="1" x14ac:dyDescent="0.6">
      <c r="A224" s="15">
        <v>223</v>
      </c>
      <c r="I224" s="28"/>
    </row>
    <row r="225" spans="1:10" thickTop="1" thickBot="1" x14ac:dyDescent="0.6">
      <c r="A225" s="15">
        <v>224</v>
      </c>
      <c r="B225" s="16">
        <v>1151102</v>
      </c>
      <c r="C225" s="4" t="s">
        <v>379</v>
      </c>
      <c r="D225" s="25" t="s">
        <v>380</v>
      </c>
      <c r="E225" s="25" t="s">
        <v>23</v>
      </c>
      <c r="F225" s="4">
        <v>776438426</v>
      </c>
      <c r="G225" s="4">
        <v>183148</v>
      </c>
      <c r="H225" s="26">
        <v>1</v>
      </c>
      <c r="I225" s="28">
        <v>45603</v>
      </c>
      <c r="J225" s="27" t="s">
        <v>381</v>
      </c>
    </row>
    <row r="226" spans="1:10" thickTop="1" thickBot="1" x14ac:dyDescent="0.6">
      <c r="A226" s="15">
        <v>225</v>
      </c>
      <c r="B226" s="16">
        <v>1151559</v>
      </c>
      <c r="C226" s="4" t="s">
        <v>3296</v>
      </c>
      <c r="E226" s="25" t="s">
        <v>6</v>
      </c>
      <c r="F226" s="4">
        <v>777199199</v>
      </c>
      <c r="G226" s="4">
        <v>474109</v>
      </c>
      <c r="H226" s="26">
        <v>1</v>
      </c>
      <c r="I226" s="28">
        <v>45855</v>
      </c>
    </row>
    <row r="227" spans="1:10" thickTop="1" thickBot="1" x14ac:dyDescent="0.6">
      <c r="A227" s="15">
        <v>226</v>
      </c>
      <c r="B227" s="16">
        <v>1150424</v>
      </c>
      <c r="C227" s="4" t="s">
        <v>382</v>
      </c>
      <c r="D227" s="25" t="s">
        <v>383</v>
      </c>
      <c r="E227" s="25" t="s">
        <v>43</v>
      </c>
      <c r="F227" s="4">
        <v>727322322</v>
      </c>
      <c r="G227" s="4">
        <v>142862</v>
      </c>
      <c r="H227" s="26">
        <v>1</v>
      </c>
      <c r="I227" s="28">
        <v>44966</v>
      </c>
      <c r="J227" s="27" t="s">
        <v>384</v>
      </c>
    </row>
    <row r="228" spans="1:10" thickTop="1" thickBot="1" x14ac:dyDescent="0.6">
      <c r="A228" s="15">
        <v>227</v>
      </c>
      <c r="B228" s="16">
        <v>1150132</v>
      </c>
      <c r="C228" s="4" t="s">
        <v>385</v>
      </c>
      <c r="D228" s="25" t="s">
        <v>386</v>
      </c>
      <c r="E228" s="25" t="s">
        <v>161</v>
      </c>
      <c r="F228" s="4">
        <v>718286878</v>
      </c>
      <c r="G228" s="4">
        <v>616727</v>
      </c>
      <c r="H228" s="26">
        <v>1</v>
      </c>
      <c r="I228" s="28">
        <v>44702</v>
      </c>
      <c r="J228" s="27" t="s">
        <v>387</v>
      </c>
    </row>
    <row r="229" spans="1:10" thickTop="1" thickBot="1" x14ac:dyDescent="0.6">
      <c r="A229" s="15">
        <v>228</v>
      </c>
      <c r="B229" s="16">
        <v>1150078</v>
      </c>
      <c r="C229" s="4" t="s">
        <v>388</v>
      </c>
      <c r="E229" s="25" t="s">
        <v>161</v>
      </c>
      <c r="F229" s="4">
        <v>772157613</v>
      </c>
      <c r="G229" s="4">
        <v>561899</v>
      </c>
      <c r="H229" s="26">
        <v>1</v>
      </c>
      <c r="J229" s="27" t="s">
        <v>389</v>
      </c>
    </row>
    <row r="230" spans="1:10" thickTop="1" thickBot="1" x14ac:dyDescent="0.6">
      <c r="A230" s="15">
        <v>229</v>
      </c>
      <c r="B230" s="16">
        <v>1150327</v>
      </c>
      <c r="C230" s="4" t="s">
        <v>390</v>
      </c>
      <c r="E230" s="25" t="s">
        <v>43</v>
      </c>
      <c r="F230" s="4">
        <v>779530097</v>
      </c>
      <c r="G230" s="4">
        <v>737085</v>
      </c>
      <c r="H230" s="26">
        <v>1</v>
      </c>
      <c r="I230" s="28">
        <v>45585</v>
      </c>
    </row>
    <row r="231" spans="1:10" thickTop="1" thickBot="1" x14ac:dyDescent="0.6">
      <c r="A231" s="15">
        <v>230</v>
      </c>
      <c r="B231" s="16">
        <v>1151561</v>
      </c>
      <c r="C231" s="4" t="s">
        <v>3302</v>
      </c>
      <c r="D231" s="25" t="s">
        <v>3303</v>
      </c>
      <c r="E231" s="25" t="s">
        <v>43</v>
      </c>
      <c r="F231" s="4">
        <v>775828665</v>
      </c>
      <c r="G231" s="4">
        <v>415565</v>
      </c>
      <c r="H231" s="26">
        <v>1</v>
      </c>
      <c r="I231" s="28">
        <v>45863</v>
      </c>
      <c r="J231" s="27">
        <v>199817700188</v>
      </c>
    </row>
    <row r="232" spans="1:10" thickTop="1" thickBot="1" x14ac:dyDescent="0.6">
      <c r="A232" s="15">
        <v>231</v>
      </c>
      <c r="B232" s="16">
        <v>1150171</v>
      </c>
      <c r="C232" s="4" t="s">
        <v>391</v>
      </c>
      <c r="D232" s="25" t="s">
        <v>143</v>
      </c>
      <c r="E232" s="25" t="s">
        <v>43</v>
      </c>
      <c r="F232" s="4">
        <v>716064705</v>
      </c>
      <c r="G232" s="4">
        <v>114184</v>
      </c>
      <c r="H232" s="26">
        <v>1</v>
      </c>
      <c r="I232" s="28">
        <v>45514</v>
      </c>
      <c r="J232" s="27">
        <v>198319004240</v>
      </c>
    </row>
    <row r="233" spans="1:10" thickTop="1" thickBot="1" x14ac:dyDescent="0.6">
      <c r="A233" s="15">
        <v>232</v>
      </c>
      <c r="B233" s="16">
        <v>1151257</v>
      </c>
      <c r="C233" s="4" t="s">
        <v>392</v>
      </c>
      <c r="D233" s="25" t="s">
        <v>393</v>
      </c>
      <c r="E233" s="25" t="s">
        <v>57</v>
      </c>
      <c r="F233" s="4" t="s">
        <v>394</v>
      </c>
      <c r="G233" s="4">
        <v>452857</v>
      </c>
      <c r="H233" s="26">
        <v>1</v>
      </c>
      <c r="I233" s="28">
        <v>45609</v>
      </c>
    </row>
    <row r="234" spans="1:10" thickTop="1" thickBot="1" x14ac:dyDescent="0.6">
      <c r="A234" s="15">
        <v>233</v>
      </c>
      <c r="B234" s="16">
        <v>1151564</v>
      </c>
      <c r="C234" s="4" t="s">
        <v>3306</v>
      </c>
      <c r="D234" s="25" t="s">
        <v>3307</v>
      </c>
      <c r="E234" s="25" t="s">
        <v>50</v>
      </c>
      <c r="F234" s="4" t="s">
        <v>3308</v>
      </c>
      <c r="G234" s="4">
        <v>652506</v>
      </c>
      <c r="H234" s="26">
        <v>1</v>
      </c>
      <c r="I234" s="28">
        <v>45869</v>
      </c>
      <c r="J234" s="27">
        <v>198054301059</v>
      </c>
    </row>
    <row r="235" spans="1:10" thickTop="1" thickBot="1" x14ac:dyDescent="0.6">
      <c r="A235" s="15">
        <v>234</v>
      </c>
      <c r="B235" s="16">
        <v>1151565</v>
      </c>
      <c r="C235" s="4" t="s">
        <v>3311</v>
      </c>
      <c r="D235" s="25" t="s">
        <v>3312</v>
      </c>
      <c r="E235" s="25" t="s">
        <v>6</v>
      </c>
      <c r="F235" s="4" t="s">
        <v>3313</v>
      </c>
      <c r="G235" s="4">
        <v>431141</v>
      </c>
      <c r="H235" s="26">
        <v>1</v>
      </c>
      <c r="I235" s="28">
        <v>45878</v>
      </c>
      <c r="J235" s="27" t="s">
        <v>3314</v>
      </c>
    </row>
    <row r="236" spans="1:10" thickTop="1" thickBot="1" x14ac:dyDescent="0.6">
      <c r="A236" s="15">
        <v>235</v>
      </c>
      <c r="B236" s="16">
        <v>1150638</v>
      </c>
      <c r="C236" s="4" t="s">
        <v>395</v>
      </c>
      <c r="D236" s="25" t="s">
        <v>396</v>
      </c>
      <c r="E236" s="25" t="s">
        <v>238</v>
      </c>
      <c r="F236" s="4">
        <v>776113639</v>
      </c>
      <c r="G236" s="4">
        <v>119621</v>
      </c>
      <c r="H236" s="26">
        <v>1</v>
      </c>
      <c r="I236" s="28">
        <v>45363</v>
      </c>
      <c r="J236" s="27" t="s">
        <v>397</v>
      </c>
    </row>
    <row r="237" spans="1:10" thickTop="1" thickBot="1" x14ac:dyDescent="0.6">
      <c r="A237" s="15">
        <v>236</v>
      </c>
      <c r="B237" s="16">
        <v>1150214</v>
      </c>
      <c r="C237" s="4" t="s">
        <v>3323</v>
      </c>
      <c r="F237" s="4">
        <v>775757253</v>
      </c>
      <c r="G237" s="4">
        <v>665352</v>
      </c>
      <c r="H237" s="26">
        <v>1</v>
      </c>
      <c r="I237" s="28">
        <v>45887</v>
      </c>
    </row>
    <row r="238" spans="1:10" thickTop="1" thickBot="1" x14ac:dyDescent="0.6">
      <c r="A238" s="15">
        <v>237</v>
      </c>
      <c r="B238" s="16">
        <v>1151570</v>
      </c>
      <c r="C238" s="4" t="s">
        <v>3324</v>
      </c>
      <c r="D238" s="25" t="s">
        <v>509</v>
      </c>
      <c r="E238" s="25" t="s">
        <v>43</v>
      </c>
      <c r="F238" s="4">
        <v>770867469</v>
      </c>
      <c r="G238" s="4">
        <v>458813</v>
      </c>
      <c r="H238" s="26">
        <v>1</v>
      </c>
      <c r="I238" s="28">
        <v>45887</v>
      </c>
      <c r="J238" s="27" t="s">
        <v>3325</v>
      </c>
    </row>
    <row r="239" spans="1:10" thickTop="1" thickBot="1" x14ac:dyDescent="0.6">
      <c r="A239" s="15">
        <v>238</v>
      </c>
      <c r="B239" s="16">
        <v>1150096</v>
      </c>
      <c r="C239" s="4" t="s">
        <v>398</v>
      </c>
      <c r="D239" s="25" t="s">
        <v>208</v>
      </c>
      <c r="E239" s="25" t="s">
        <v>23</v>
      </c>
      <c r="F239" s="4">
        <v>724069266</v>
      </c>
      <c r="G239" s="4">
        <v>683660</v>
      </c>
      <c r="H239" s="26">
        <v>1</v>
      </c>
    </row>
    <row r="240" spans="1:10" thickTop="1" thickBot="1" x14ac:dyDescent="0.6">
      <c r="A240" s="15">
        <v>239</v>
      </c>
      <c r="B240" s="16">
        <v>1151571</v>
      </c>
      <c r="C240" s="4" t="s">
        <v>3326</v>
      </c>
      <c r="D240" s="25" t="s">
        <v>1101</v>
      </c>
      <c r="E240" s="25" t="s">
        <v>43</v>
      </c>
      <c r="F240" s="4" t="s">
        <v>3327</v>
      </c>
      <c r="G240" s="4">
        <v>504012</v>
      </c>
      <c r="H240" s="26">
        <v>1</v>
      </c>
      <c r="I240" s="28">
        <v>45888</v>
      </c>
      <c r="J240" s="27">
        <v>196902601413</v>
      </c>
    </row>
    <row r="241" spans="1:10" thickTop="1" thickBot="1" x14ac:dyDescent="0.6">
      <c r="A241" s="15">
        <v>240</v>
      </c>
      <c r="B241" s="16">
        <v>1151572</v>
      </c>
      <c r="C241" s="4" t="s">
        <v>3329</v>
      </c>
      <c r="D241" s="25" t="s">
        <v>3330</v>
      </c>
      <c r="E241" s="25" t="s">
        <v>3331</v>
      </c>
      <c r="F241" s="4">
        <v>775952297</v>
      </c>
      <c r="G241" s="4">
        <v>512098</v>
      </c>
      <c r="H241" s="26">
        <v>1</v>
      </c>
      <c r="I241" s="28">
        <v>45891</v>
      </c>
      <c r="J241" s="27" t="s">
        <v>3332</v>
      </c>
    </row>
    <row r="242" spans="1:10" thickTop="1" thickBot="1" x14ac:dyDescent="0.6">
      <c r="A242" s="15">
        <v>241</v>
      </c>
      <c r="B242" s="16">
        <v>1151573</v>
      </c>
      <c r="C242" s="4" t="s">
        <v>3333</v>
      </c>
      <c r="D242" s="25" t="s">
        <v>3334</v>
      </c>
      <c r="E242" s="25" t="s">
        <v>43</v>
      </c>
      <c r="F242" s="4" t="s">
        <v>3335</v>
      </c>
      <c r="G242" s="4">
        <v>631807</v>
      </c>
      <c r="H242" s="26">
        <v>1</v>
      </c>
      <c r="I242" s="28">
        <v>45897</v>
      </c>
      <c r="J242" s="27" t="s">
        <v>3336</v>
      </c>
    </row>
    <row r="243" spans="1:10" thickTop="1" thickBot="1" x14ac:dyDescent="0.6">
      <c r="A243" s="15">
        <v>242</v>
      </c>
      <c r="B243" s="16">
        <v>1151578</v>
      </c>
      <c r="C243" s="4" t="s">
        <v>3348</v>
      </c>
      <c r="D243" s="25" t="s">
        <v>3349</v>
      </c>
      <c r="E243" s="25" t="s">
        <v>50</v>
      </c>
      <c r="F243" s="4">
        <v>512222722</v>
      </c>
      <c r="G243" s="4">
        <v>715642</v>
      </c>
      <c r="H243" s="26">
        <v>1</v>
      </c>
      <c r="I243" s="28">
        <v>45912</v>
      </c>
    </row>
    <row r="244" spans="1:10" thickTop="1" thickBot="1" x14ac:dyDescent="0.6">
      <c r="A244" s="15">
        <v>243</v>
      </c>
      <c r="B244" s="16">
        <v>1151579</v>
      </c>
      <c r="C244" s="4" t="s">
        <v>3350</v>
      </c>
      <c r="D244" s="25" t="s">
        <v>232</v>
      </c>
      <c r="E244" s="25" t="s">
        <v>3045</v>
      </c>
      <c r="F244" s="4" t="s">
        <v>3351</v>
      </c>
      <c r="G244" s="4">
        <v>518632</v>
      </c>
      <c r="H244" s="26">
        <v>1</v>
      </c>
      <c r="I244" s="28">
        <v>45914</v>
      </c>
      <c r="J244" s="27">
        <v>197682600958</v>
      </c>
    </row>
    <row r="245" spans="1:10" thickTop="1" thickBot="1" x14ac:dyDescent="0.6">
      <c r="A245" s="15">
        <v>244</v>
      </c>
      <c r="B245" s="16">
        <v>1151583</v>
      </c>
      <c r="C245" s="4" t="s">
        <v>3360</v>
      </c>
      <c r="D245" s="25" t="s">
        <v>686</v>
      </c>
      <c r="E245" s="25" t="s">
        <v>6</v>
      </c>
      <c r="F245" s="4">
        <v>772106864</v>
      </c>
      <c r="G245" s="4">
        <v>923659</v>
      </c>
      <c r="H245" s="26">
        <v>1</v>
      </c>
      <c r="I245" s="28">
        <v>45916</v>
      </c>
      <c r="J245" s="27" t="s">
        <v>3361</v>
      </c>
    </row>
    <row r="246" spans="1:10" thickTop="1" thickBot="1" x14ac:dyDescent="0.6">
      <c r="A246" s="15">
        <v>245</v>
      </c>
      <c r="B246" s="16">
        <v>1151390</v>
      </c>
      <c r="C246" s="4" t="s">
        <v>401</v>
      </c>
      <c r="D246" s="25" t="s">
        <v>288</v>
      </c>
      <c r="E246" s="25" t="s">
        <v>43</v>
      </c>
      <c r="F246" s="4">
        <v>712540410</v>
      </c>
      <c r="G246" s="4">
        <v>147111</v>
      </c>
      <c r="H246" s="26">
        <v>1</v>
      </c>
    </row>
    <row r="247" spans="1:10" thickTop="1" thickBot="1" x14ac:dyDescent="0.6">
      <c r="A247" s="15">
        <v>246</v>
      </c>
      <c r="B247" s="16">
        <v>1151517</v>
      </c>
      <c r="C247" s="4" t="s">
        <v>3364</v>
      </c>
      <c r="D247" s="25" t="s">
        <v>756</v>
      </c>
      <c r="E247" s="25" t="s">
        <v>57</v>
      </c>
      <c r="F247" s="4">
        <v>771150578</v>
      </c>
      <c r="G247" s="4">
        <v>648272</v>
      </c>
      <c r="H247" s="26">
        <v>1</v>
      </c>
      <c r="I247" s="28">
        <v>45918</v>
      </c>
    </row>
    <row r="248" spans="1:10" thickTop="1" thickBot="1" x14ac:dyDescent="0.6">
      <c r="A248" s="15">
        <v>247</v>
      </c>
      <c r="B248" s="16">
        <v>1150226</v>
      </c>
      <c r="C248" s="4" t="s">
        <v>3369</v>
      </c>
      <c r="D248" s="25" t="s">
        <v>1280</v>
      </c>
      <c r="E248" s="25" t="s">
        <v>23</v>
      </c>
      <c r="F248" s="4">
        <v>777519161</v>
      </c>
      <c r="G248" s="4">
        <v>813363</v>
      </c>
      <c r="H248" s="26">
        <v>1</v>
      </c>
      <c r="I248" s="28">
        <v>45919</v>
      </c>
      <c r="J248" s="27" t="s">
        <v>3370</v>
      </c>
    </row>
    <row r="249" spans="1:10" thickTop="1" thickBot="1" x14ac:dyDescent="0.6">
      <c r="A249" s="15">
        <v>248</v>
      </c>
      <c r="B249" s="16">
        <v>1150540</v>
      </c>
      <c r="C249" s="4" t="s">
        <v>402</v>
      </c>
      <c r="D249" s="25" t="s">
        <v>403</v>
      </c>
      <c r="E249" s="25" t="s">
        <v>23</v>
      </c>
      <c r="F249" s="4">
        <v>767102235</v>
      </c>
      <c r="G249" s="4" t="str">
        <f>"0"&amp;70741</f>
        <v>070741</v>
      </c>
      <c r="H249" s="26">
        <v>1</v>
      </c>
      <c r="I249" s="28">
        <v>45039</v>
      </c>
      <c r="J249" s="27" t="s">
        <v>404</v>
      </c>
    </row>
    <row r="250" spans="1:10" thickTop="1" thickBot="1" x14ac:dyDescent="0.6">
      <c r="A250" s="15">
        <v>249</v>
      </c>
      <c r="B250" s="16">
        <v>1151589</v>
      </c>
      <c r="C250" s="4" t="s">
        <v>3376</v>
      </c>
      <c r="D250" s="25" t="s">
        <v>905</v>
      </c>
      <c r="E250" s="25" t="s">
        <v>23</v>
      </c>
      <c r="F250" s="4">
        <v>759757403</v>
      </c>
      <c r="G250" s="4">
        <v>934102</v>
      </c>
      <c r="H250" s="26">
        <v>1</v>
      </c>
      <c r="I250" s="28">
        <v>45926</v>
      </c>
      <c r="J250" s="27">
        <v>198432704676</v>
      </c>
    </row>
    <row r="251" spans="1:10" thickTop="1" thickBot="1" x14ac:dyDescent="0.6">
      <c r="A251" s="15">
        <v>250</v>
      </c>
      <c r="B251" s="16">
        <v>1150095</v>
      </c>
      <c r="C251" s="4" t="s">
        <v>405</v>
      </c>
      <c r="E251" s="25" t="s">
        <v>135</v>
      </c>
      <c r="F251" s="4">
        <v>713550776</v>
      </c>
      <c r="G251" s="4" t="s">
        <v>406</v>
      </c>
      <c r="H251" s="26">
        <v>2</v>
      </c>
      <c r="I251" s="28">
        <v>45606</v>
      </c>
      <c r="J251" s="27" t="s">
        <v>407</v>
      </c>
    </row>
    <row r="252" spans="1:10" thickTop="1" thickBot="1" x14ac:dyDescent="0.6">
      <c r="A252" s="15">
        <v>251</v>
      </c>
      <c r="B252" s="16">
        <v>1150660</v>
      </c>
      <c r="C252" s="4" t="s">
        <v>408</v>
      </c>
      <c r="D252" s="25" t="s">
        <v>288</v>
      </c>
      <c r="E252" s="25" t="s">
        <v>43</v>
      </c>
      <c r="F252" s="4" t="s">
        <v>409</v>
      </c>
      <c r="G252" s="4">
        <v>101876</v>
      </c>
      <c r="H252" s="26">
        <v>1</v>
      </c>
      <c r="I252" s="28">
        <v>45390</v>
      </c>
      <c r="J252" s="27" t="s">
        <v>410</v>
      </c>
    </row>
    <row r="253" spans="1:10" thickTop="1" thickBot="1" x14ac:dyDescent="0.6">
      <c r="A253" s="15">
        <v>252</v>
      </c>
      <c r="B253" s="16">
        <v>1150594</v>
      </c>
      <c r="C253" s="4" t="s">
        <v>411</v>
      </c>
      <c r="D253" s="25" t="s">
        <v>143</v>
      </c>
      <c r="E253" s="25" t="s">
        <v>43</v>
      </c>
      <c r="F253" s="4">
        <v>774708026</v>
      </c>
      <c r="G253" s="4">
        <v>111172</v>
      </c>
      <c r="H253" s="26">
        <v>1</v>
      </c>
      <c r="I253" s="28">
        <v>45296</v>
      </c>
      <c r="J253" s="27">
        <v>196934704507</v>
      </c>
    </row>
    <row r="254" spans="1:10" thickTop="1" thickBot="1" x14ac:dyDescent="0.6">
      <c r="A254" s="15">
        <v>253</v>
      </c>
      <c r="B254" s="16">
        <v>1151590</v>
      </c>
      <c r="C254" s="4" t="s">
        <v>3377</v>
      </c>
      <c r="F254" s="4">
        <v>760802521</v>
      </c>
      <c r="G254" s="4">
        <v>696586</v>
      </c>
      <c r="H254" s="26">
        <v>1</v>
      </c>
      <c r="I254" s="28">
        <v>45927</v>
      </c>
      <c r="J254" s="27" t="s">
        <v>3378</v>
      </c>
    </row>
    <row r="255" spans="1:10" thickTop="1" thickBot="1" x14ac:dyDescent="0.6">
      <c r="A255" s="15">
        <v>254</v>
      </c>
      <c r="B255" s="16">
        <v>1150057</v>
      </c>
      <c r="C255" s="4" t="s">
        <v>412</v>
      </c>
      <c r="E255" s="25" t="s">
        <v>6</v>
      </c>
      <c r="F255" s="4" t="s">
        <v>413</v>
      </c>
      <c r="G255" s="4">
        <v>631767</v>
      </c>
      <c r="H255" s="26">
        <v>1</v>
      </c>
    </row>
    <row r="256" spans="1:10" thickTop="1" thickBot="1" x14ac:dyDescent="0.6">
      <c r="A256" s="15">
        <v>255</v>
      </c>
      <c r="B256" s="16">
        <v>1150590</v>
      </c>
      <c r="C256" s="4" t="s">
        <v>414</v>
      </c>
      <c r="D256" s="29" t="s">
        <v>415</v>
      </c>
      <c r="E256" s="29" t="s">
        <v>43</v>
      </c>
      <c r="F256" s="4">
        <v>779793420</v>
      </c>
      <c r="G256" s="4">
        <v>146251</v>
      </c>
      <c r="H256" s="26">
        <v>1</v>
      </c>
      <c r="J256" s="27" t="s">
        <v>416</v>
      </c>
    </row>
    <row r="257" spans="1:10" thickTop="1" thickBot="1" x14ac:dyDescent="0.6">
      <c r="A257" s="15">
        <v>256</v>
      </c>
      <c r="B257" s="16">
        <v>1150891</v>
      </c>
      <c r="C257" s="4" t="s">
        <v>3388</v>
      </c>
      <c r="D257" s="25" t="s">
        <v>3389</v>
      </c>
      <c r="E257" s="25" t="s">
        <v>43</v>
      </c>
      <c r="F257" s="4">
        <v>774708368</v>
      </c>
      <c r="G257" s="4">
        <v>214471</v>
      </c>
      <c r="H257" s="26">
        <v>1</v>
      </c>
      <c r="I257" s="28">
        <v>45933</v>
      </c>
      <c r="J257" s="27" t="s">
        <v>3390</v>
      </c>
    </row>
    <row r="258" spans="1:10" thickTop="1" thickBot="1" x14ac:dyDescent="0.6">
      <c r="A258" s="15">
        <v>257</v>
      </c>
      <c r="B258" s="16">
        <v>1150362</v>
      </c>
      <c r="C258" s="4" t="s">
        <v>3391</v>
      </c>
      <c r="D258" s="25" t="s">
        <v>2782</v>
      </c>
      <c r="E258" s="25" t="s">
        <v>3045</v>
      </c>
      <c r="F258" s="4">
        <v>778677794</v>
      </c>
      <c r="G258" s="4">
        <v>632204</v>
      </c>
      <c r="H258" s="26">
        <v>1</v>
      </c>
    </row>
    <row r="259" spans="1:10" thickTop="1" thickBot="1" x14ac:dyDescent="0.6">
      <c r="A259" s="15">
        <v>258</v>
      </c>
      <c r="B259" s="16">
        <v>1150054</v>
      </c>
      <c r="C259" s="4" t="s">
        <v>3392</v>
      </c>
      <c r="D259" s="25" t="s">
        <v>3393</v>
      </c>
      <c r="E259" s="25" t="s">
        <v>125</v>
      </c>
      <c r="F259" s="4">
        <v>773742344</v>
      </c>
      <c r="G259" s="4">
        <v>128285</v>
      </c>
      <c r="H259" s="26">
        <v>1</v>
      </c>
      <c r="I259" s="28">
        <v>45937</v>
      </c>
      <c r="J259" s="27" t="s">
        <v>3394</v>
      </c>
    </row>
    <row r="260" spans="1:10" thickTop="1" thickBot="1" x14ac:dyDescent="0.6">
      <c r="A260" s="15">
        <v>259</v>
      </c>
      <c r="B260" s="16">
        <v>1150372</v>
      </c>
      <c r="C260" s="4" t="s">
        <v>3399</v>
      </c>
      <c r="D260" s="25" t="s">
        <v>3400</v>
      </c>
      <c r="E260" s="25" t="s">
        <v>23</v>
      </c>
      <c r="F260" s="4">
        <v>770875879</v>
      </c>
      <c r="G260" s="4">
        <v>314909</v>
      </c>
      <c r="H260" s="26">
        <v>1</v>
      </c>
      <c r="I260" s="28">
        <v>45944</v>
      </c>
      <c r="J260" s="27" t="s">
        <v>3401</v>
      </c>
    </row>
    <row r="261" spans="1:10" thickTop="1" thickBot="1" x14ac:dyDescent="0.6">
      <c r="A261" s="15">
        <v>260</v>
      </c>
      <c r="B261" s="16">
        <v>1150648</v>
      </c>
      <c r="C261" s="4" t="s">
        <v>3409</v>
      </c>
      <c r="F261" s="4">
        <v>719423993</v>
      </c>
      <c r="G261" s="4">
        <v>792552</v>
      </c>
      <c r="H261" s="26">
        <v>1</v>
      </c>
      <c r="I261" s="28">
        <v>45951</v>
      </c>
      <c r="J261" s="27" t="s">
        <v>3410</v>
      </c>
    </row>
    <row r="262" spans="1:10" thickTop="1" thickBot="1" x14ac:dyDescent="0.6">
      <c r="A262" s="15">
        <v>261</v>
      </c>
      <c r="B262" s="16">
        <v>1151420</v>
      </c>
      <c r="C262" s="4" t="s">
        <v>2803</v>
      </c>
      <c r="D262" s="25" t="s">
        <v>2804</v>
      </c>
      <c r="E262" s="25" t="s">
        <v>161</v>
      </c>
      <c r="F262" s="4">
        <v>767694010</v>
      </c>
      <c r="G262" s="4">
        <v>454218</v>
      </c>
      <c r="H262" s="26">
        <v>1</v>
      </c>
      <c r="I262" s="28">
        <v>45724</v>
      </c>
      <c r="J262" s="27">
        <v>197114102735</v>
      </c>
    </row>
    <row r="263" spans="1:10" thickTop="1" thickBot="1" x14ac:dyDescent="0.6">
      <c r="A263" s="15">
        <v>262</v>
      </c>
      <c r="B263" s="16">
        <v>1151599</v>
      </c>
      <c r="C263" s="4" t="s">
        <v>3415</v>
      </c>
      <c r="D263" s="25" t="s">
        <v>3416</v>
      </c>
      <c r="E263" s="25" t="s">
        <v>43</v>
      </c>
      <c r="F263" s="4">
        <v>702542008</v>
      </c>
      <c r="G263" s="4">
        <v>742265</v>
      </c>
      <c r="H263" s="26">
        <v>1</v>
      </c>
      <c r="I263" s="28">
        <v>45954</v>
      </c>
      <c r="J263" s="27" t="s">
        <v>3417</v>
      </c>
    </row>
    <row r="264" spans="1:10" thickTop="1" thickBot="1" x14ac:dyDescent="0.6">
      <c r="A264" s="15">
        <v>263</v>
      </c>
      <c r="B264" s="16">
        <v>1151600</v>
      </c>
      <c r="C264" s="4" t="s">
        <v>3420</v>
      </c>
      <c r="D264" s="25" t="s">
        <v>3421</v>
      </c>
      <c r="E264" s="25" t="s">
        <v>17</v>
      </c>
      <c r="F264" s="4">
        <v>760604317</v>
      </c>
      <c r="G264" s="4">
        <v>718661</v>
      </c>
      <c r="H264" s="26">
        <v>1</v>
      </c>
      <c r="I264" s="28">
        <v>45958</v>
      </c>
      <c r="J264" s="27">
        <v>199010303480</v>
      </c>
    </row>
    <row r="265" spans="1:10" thickTop="1" thickBot="1" x14ac:dyDescent="0.6">
      <c r="A265" s="15">
        <v>264</v>
      </c>
      <c r="B265" s="16">
        <v>1151456</v>
      </c>
      <c r="C265" s="4" t="s">
        <v>3424</v>
      </c>
      <c r="D265" s="25" t="s">
        <v>3425</v>
      </c>
      <c r="E265" s="25" t="s">
        <v>78</v>
      </c>
      <c r="F265" s="4">
        <v>773224255</v>
      </c>
      <c r="G265" s="4">
        <v>396740</v>
      </c>
      <c r="H265" s="26">
        <v>1</v>
      </c>
      <c r="I265" s="28"/>
    </row>
    <row r="266" spans="1:10" thickTop="1" thickBot="1" x14ac:dyDescent="0.6">
      <c r="A266" s="15">
        <v>265</v>
      </c>
      <c r="B266" s="16">
        <v>1150599</v>
      </c>
      <c r="C266" s="4" t="s">
        <v>417</v>
      </c>
      <c r="D266" s="25" t="s">
        <v>67</v>
      </c>
      <c r="E266" s="25" t="s">
        <v>238</v>
      </c>
      <c r="F266" s="4" t="s">
        <v>418</v>
      </c>
      <c r="G266" s="4" t="str">
        <f>"0"&amp;76730</f>
        <v>076730</v>
      </c>
      <c r="H266" s="26">
        <v>1</v>
      </c>
      <c r="I266" s="28">
        <v>45299</v>
      </c>
      <c r="J266" s="27">
        <v>197675710017</v>
      </c>
    </row>
    <row r="267" spans="1:10" thickTop="1" thickBot="1" x14ac:dyDescent="0.6">
      <c r="A267" s="15">
        <v>266</v>
      </c>
      <c r="B267" s="16">
        <v>1150340</v>
      </c>
      <c r="C267" s="4" t="s">
        <v>419</v>
      </c>
      <c r="D267" s="25" t="s">
        <v>420</v>
      </c>
      <c r="E267" s="25" t="s">
        <v>57</v>
      </c>
      <c r="F267" s="4">
        <v>775429770</v>
      </c>
      <c r="G267" s="4" t="str">
        <f>"0"&amp;93612</f>
        <v>093612</v>
      </c>
      <c r="H267" s="26">
        <v>1</v>
      </c>
      <c r="I267" s="28">
        <v>44952</v>
      </c>
      <c r="J267" s="27" t="s">
        <v>421</v>
      </c>
    </row>
    <row r="268" spans="1:10" thickTop="1" thickBot="1" x14ac:dyDescent="0.6">
      <c r="A268" s="15">
        <v>267</v>
      </c>
      <c r="B268" s="16">
        <v>1150300</v>
      </c>
      <c r="C268" s="4" t="s">
        <v>422</v>
      </c>
      <c r="E268" s="25" t="s">
        <v>17</v>
      </c>
      <c r="G268" s="4">
        <v>307202</v>
      </c>
      <c r="H268" s="26">
        <v>1</v>
      </c>
      <c r="I268" s="28">
        <v>44502</v>
      </c>
      <c r="J268" s="27" t="s">
        <v>423</v>
      </c>
    </row>
    <row r="269" spans="1:10" thickTop="1" thickBot="1" x14ac:dyDescent="0.6">
      <c r="A269" s="15">
        <v>268</v>
      </c>
      <c r="C269" s="4" t="s">
        <v>424</v>
      </c>
      <c r="D269" s="25" t="s">
        <v>425</v>
      </c>
      <c r="E269" s="25" t="s">
        <v>50</v>
      </c>
      <c r="F269" s="4">
        <v>776520934</v>
      </c>
      <c r="H269" s="26">
        <v>1</v>
      </c>
    </row>
    <row r="270" spans="1:10" thickTop="1" thickBot="1" x14ac:dyDescent="0.6">
      <c r="A270" s="15">
        <v>269</v>
      </c>
      <c r="B270" s="16">
        <v>1150790</v>
      </c>
      <c r="C270" s="4" t="s">
        <v>426</v>
      </c>
      <c r="D270" s="25" t="s">
        <v>427</v>
      </c>
      <c r="E270" s="25" t="s">
        <v>52</v>
      </c>
      <c r="F270" s="4" t="s">
        <v>428</v>
      </c>
      <c r="G270" s="4">
        <v>151657</v>
      </c>
      <c r="H270" s="26">
        <v>1</v>
      </c>
      <c r="I270" s="28">
        <v>45529</v>
      </c>
      <c r="J270" s="27">
        <v>199517804320</v>
      </c>
    </row>
    <row r="271" spans="1:10" thickTop="1" thickBot="1" x14ac:dyDescent="0.6">
      <c r="A271" s="15">
        <v>270</v>
      </c>
      <c r="B271" s="16">
        <v>1150614</v>
      </c>
      <c r="C271" s="4" t="s">
        <v>429</v>
      </c>
      <c r="D271" s="25" t="s">
        <v>430</v>
      </c>
      <c r="E271" s="25" t="s">
        <v>50</v>
      </c>
      <c r="F271" s="4">
        <v>773524178</v>
      </c>
      <c r="G271" s="4" t="str">
        <f>"0"&amp;43789</f>
        <v>043789</v>
      </c>
      <c r="H271" s="26">
        <v>1</v>
      </c>
      <c r="I271" s="28">
        <v>45308</v>
      </c>
      <c r="J271" s="27">
        <v>197616404262</v>
      </c>
    </row>
    <row r="272" spans="1:10" thickTop="1" thickBot="1" x14ac:dyDescent="0.6">
      <c r="A272" s="15">
        <v>271</v>
      </c>
      <c r="B272" s="16">
        <v>1151317</v>
      </c>
      <c r="C272" s="4" t="s">
        <v>431</v>
      </c>
      <c r="D272" s="25" t="s">
        <v>432</v>
      </c>
      <c r="E272" s="25" t="s">
        <v>238</v>
      </c>
      <c r="F272" s="4" t="s">
        <v>433</v>
      </c>
      <c r="G272" s="4">
        <v>163801</v>
      </c>
      <c r="H272" s="26">
        <v>1</v>
      </c>
      <c r="I272" s="28">
        <v>45622</v>
      </c>
      <c r="J272" s="27">
        <v>200152603151</v>
      </c>
    </row>
    <row r="273" spans="1:10" thickTop="1" thickBot="1" x14ac:dyDescent="0.6">
      <c r="A273" s="15">
        <v>272</v>
      </c>
      <c r="B273" s="16">
        <v>1151603</v>
      </c>
      <c r="C273" s="4" t="s">
        <v>3430</v>
      </c>
      <c r="D273" s="25" t="s">
        <v>278</v>
      </c>
      <c r="E273" s="25" t="s">
        <v>161</v>
      </c>
      <c r="F273" s="4" t="s">
        <v>3431</v>
      </c>
      <c r="G273" s="4">
        <v>700313</v>
      </c>
      <c r="H273" s="26">
        <v>1</v>
      </c>
      <c r="I273" s="28">
        <v>45966</v>
      </c>
      <c r="J273" s="27">
        <v>200179803640</v>
      </c>
    </row>
    <row r="274" spans="1:10" thickTop="1" thickBot="1" x14ac:dyDescent="0.6">
      <c r="A274" s="15">
        <v>273</v>
      </c>
      <c r="B274" s="16">
        <v>1150030</v>
      </c>
      <c r="C274" s="4" t="s">
        <v>434</v>
      </c>
      <c r="E274" s="25" t="s">
        <v>23</v>
      </c>
      <c r="F274" s="4">
        <v>723708871</v>
      </c>
      <c r="G274" s="4">
        <v>734439</v>
      </c>
      <c r="H274" s="26">
        <v>1</v>
      </c>
      <c r="I274" s="28"/>
    </row>
    <row r="275" spans="1:10" thickTop="1" thickBot="1" x14ac:dyDescent="0.6">
      <c r="A275" s="15">
        <v>274</v>
      </c>
      <c r="B275" s="16">
        <v>1151604</v>
      </c>
      <c r="C275" s="4" t="s">
        <v>3432</v>
      </c>
      <c r="D275" s="25" t="s">
        <v>3433</v>
      </c>
      <c r="E275" s="25" t="s">
        <v>238</v>
      </c>
      <c r="F275" s="4">
        <v>779996820</v>
      </c>
      <c r="G275" s="4">
        <v>856131</v>
      </c>
      <c r="H275" s="26">
        <v>1</v>
      </c>
      <c r="I275" s="28">
        <v>45966</v>
      </c>
      <c r="J275" s="27" t="s">
        <v>3434</v>
      </c>
    </row>
    <row r="276" spans="1:10" thickTop="1" thickBot="1" x14ac:dyDescent="0.6">
      <c r="A276" s="15">
        <v>275</v>
      </c>
      <c r="B276" s="16">
        <v>1151605</v>
      </c>
      <c r="C276" s="4" t="s">
        <v>3436</v>
      </c>
      <c r="D276" s="25" t="s">
        <v>3437</v>
      </c>
      <c r="E276" s="25" t="s">
        <v>85</v>
      </c>
      <c r="F276" s="4">
        <v>772665070</v>
      </c>
      <c r="G276" s="4">
        <v>689003</v>
      </c>
      <c r="H276" s="26">
        <v>1</v>
      </c>
      <c r="I276" s="28">
        <v>45969</v>
      </c>
      <c r="J276" s="27" t="s">
        <v>3438</v>
      </c>
    </row>
    <row r="277" spans="1:10" thickTop="1" thickBot="1" x14ac:dyDescent="0.6">
      <c r="A277" s="15">
        <v>276</v>
      </c>
      <c r="B277" s="16">
        <v>1150906</v>
      </c>
      <c r="C277" s="4" t="s">
        <v>436</v>
      </c>
      <c r="D277" s="25" t="s">
        <v>437</v>
      </c>
      <c r="E277" s="25" t="s">
        <v>249</v>
      </c>
      <c r="F277" s="4">
        <v>777198329</v>
      </c>
      <c r="G277" s="4">
        <v>257447</v>
      </c>
      <c r="H277" s="26">
        <v>1</v>
      </c>
      <c r="I277" s="28">
        <v>45576</v>
      </c>
      <c r="J277" s="27">
        <v>197929801828</v>
      </c>
    </row>
    <row r="278" spans="1:10" thickTop="1" thickBot="1" x14ac:dyDescent="0.6">
      <c r="A278" s="15">
        <v>277</v>
      </c>
      <c r="B278" s="16">
        <v>1150644</v>
      </c>
      <c r="C278" s="4" t="s">
        <v>438</v>
      </c>
      <c r="D278" s="25" t="s">
        <v>1299</v>
      </c>
      <c r="E278" s="25" t="s">
        <v>161</v>
      </c>
      <c r="F278" s="4">
        <v>768677298</v>
      </c>
      <c r="G278" s="4">
        <v>556436</v>
      </c>
      <c r="H278" s="26">
        <v>1</v>
      </c>
      <c r="I278" s="28">
        <v>45342</v>
      </c>
      <c r="J278" s="27" t="s">
        <v>439</v>
      </c>
    </row>
    <row r="279" spans="1:10" thickTop="1" thickBot="1" x14ac:dyDescent="0.6">
      <c r="A279" s="15">
        <v>278</v>
      </c>
      <c r="B279" s="16">
        <v>1150637</v>
      </c>
      <c r="C279" s="4" t="s">
        <v>440</v>
      </c>
      <c r="D279" s="25" t="s">
        <v>441</v>
      </c>
      <c r="E279" s="25" t="s">
        <v>43</v>
      </c>
      <c r="F279" s="4">
        <v>776394356</v>
      </c>
      <c r="G279" s="4">
        <v>154750</v>
      </c>
      <c r="H279" s="26">
        <v>1</v>
      </c>
      <c r="I279" s="28">
        <v>45331</v>
      </c>
      <c r="J279" s="27" t="s">
        <v>442</v>
      </c>
    </row>
    <row r="280" spans="1:10" thickTop="1" thickBot="1" x14ac:dyDescent="0.6">
      <c r="A280" s="15">
        <v>279</v>
      </c>
    </row>
    <row r="281" spans="1:10" thickTop="1" thickBot="1" x14ac:dyDescent="0.6">
      <c r="A281" s="15">
        <v>280</v>
      </c>
      <c r="B281" s="16">
        <v>1150272</v>
      </c>
      <c r="C281" s="4" t="s">
        <v>443</v>
      </c>
      <c r="D281" s="25" t="s">
        <v>444</v>
      </c>
      <c r="E281" s="25" t="s">
        <v>23</v>
      </c>
      <c r="F281" s="4">
        <v>773666884</v>
      </c>
      <c r="G281" s="4">
        <v>499983</v>
      </c>
      <c r="H281" s="26">
        <v>1</v>
      </c>
      <c r="I281" s="28">
        <v>44456</v>
      </c>
      <c r="J281" s="27">
        <v>198218101112</v>
      </c>
    </row>
    <row r="282" spans="1:10" thickTop="1" thickBot="1" x14ac:dyDescent="0.6">
      <c r="A282" s="15">
        <v>281</v>
      </c>
      <c r="B282" s="16">
        <v>1150943</v>
      </c>
      <c r="C282" s="4" t="s">
        <v>445</v>
      </c>
      <c r="D282" s="25" t="s">
        <v>446</v>
      </c>
      <c r="E282" s="25" t="s">
        <v>43</v>
      </c>
      <c r="F282" s="4" t="s">
        <v>447</v>
      </c>
      <c r="G282" s="4">
        <v>381569</v>
      </c>
      <c r="H282" s="26">
        <v>1</v>
      </c>
      <c r="I282" s="28">
        <v>45581</v>
      </c>
      <c r="J282" s="27" t="s">
        <v>448</v>
      </c>
    </row>
    <row r="283" spans="1:10" thickTop="1" thickBot="1" x14ac:dyDescent="0.6">
      <c r="A283" s="15">
        <v>282</v>
      </c>
    </row>
    <row r="284" spans="1:10" thickTop="1" thickBot="1" x14ac:dyDescent="0.6">
      <c r="A284" s="15">
        <v>283</v>
      </c>
    </row>
    <row r="285" spans="1:10" thickTop="1" thickBot="1" x14ac:dyDescent="0.6">
      <c r="A285" s="15">
        <v>284</v>
      </c>
      <c r="B285" s="16">
        <v>1150403</v>
      </c>
      <c r="C285" s="4" t="s">
        <v>450</v>
      </c>
      <c r="D285" s="25" t="s">
        <v>451</v>
      </c>
      <c r="E285" s="25" t="s">
        <v>238</v>
      </c>
      <c r="F285" s="4">
        <v>774608987</v>
      </c>
      <c r="G285" s="4">
        <v>135833</v>
      </c>
      <c r="H285" s="26">
        <v>1</v>
      </c>
      <c r="I285" s="28">
        <v>44934</v>
      </c>
      <c r="J285" s="27">
        <v>198618703510</v>
      </c>
    </row>
    <row r="286" spans="1:10" thickTop="1" thickBot="1" x14ac:dyDescent="0.6">
      <c r="A286" s="15">
        <v>285</v>
      </c>
    </row>
    <row r="287" spans="1:10" thickTop="1" thickBot="1" x14ac:dyDescent="0.6">
      <c r="A287" s="15">
        <v>286</v>
      </c>
      <c r="B287" s="16">
        <v>1150651</v>
      </c>
      <c r="C287" s="4" t="s">
        <v>452</v>
      </c>
      <c r="D287" s="25" t="s">
        <v>453</v>
      </c>
      <c r="E287" s="25" t="s">
        <v>78</v>
      </c>
      <c r="F287" s="4">
        <v>771433543</v>
      </c>
      <c r="G287" s="4">
        <v>144249</v>
      </c>
      <c r="H287" s="26">
        <v>1</v>
      </c>
      <c r="I287" s="28">
        <v>45365</v>
      </c>
      <c r="J287" s="27" t="s">
        <v>454</v>
      </c>
    </row>
    <row r="288" spans="1:10" thickTop="1" thickBot="1" x14ac:dyDescent="0.6">
      <c r="A288" s="15">
        <v>287</v>
      </c>
    </row>
    <row r="289" spans="1:10" thickTop="1" thickBot="1" x14ac:dyDescent="0.6">
      <c r="A289" s="15">
        <v>288</v>
      </c>
      <c r="B289" s="16">
        <v>1150626</v>
      </c>
      <c r="C289" s="4" t="s">
        <v>455</v>
      </c>
      <c r="D289" s="25" t="s">
        <v>456</v>
      </c>
      <c r="E289" s="25" t="s">
        <v>238</v>
      </c>
      <c r="F289" s="4">
        <v>772436789</v>
      </c>
      <c r="G289" s="4" t="str">
        <f>"0"&amp;31735</f>
        <v>031735</v>
      </c>
      <c r="H289" s="26">
        <v>1</v>
      </c>
      <c r="I289" s="28">
        <v>45328</v>
      </c>
      <c r="J289" s="27" t="s">
        <v>457</v>
      </c>
    </row>
    <row r="290" spans="1:10" thickTop="1" thickBot="1" x14ac:dyDescent="0.6">
      <c r="A290" s="15">
        <v>289</v>
      </c>
    </row>
    <row r="291" spans="1:10" thickTop="1" thickBot="1" x14ac:dyDescent="0.6">
      <c r="A291" s="15">
        <v>290</v>
      </c>
    </row>
    <row r="292" spans="1:10" thickTop="1" thickBot="1" x14ac:dyDescent="0.6">
      <c r="A292" s="15">
        <v>291</v>
      </c>
      <c r="B292" s="16">
        <v>1151311</v>
      </c>
      <c r="C292" s="4" t="s">
        <v>460</v>
      </c>
      <c r="D292" s="25" t="s">
        <v>441</v>
      </c>
      <c r="E292" s="25" t="s">
        <v>23</v>
      </c>
      <c r="F292" s="4" t="s">
        <v>461</v>
      </c>
      <c r="G292" s="4">
        <v>407414</v>
      </c>
      <c r="H292" s="26">
        <v>1</v>
      </c>
      <c r="I292" s="28">
        <v>45620</v>
      </c>
      <c r="J292" s="27">
        <v>197434300476</v>
      </c>
    </row>
    <row r="293" spans="1:10" thickTop="1" thickBot="1" x14ac:dyDescent="0.6">
      <c r="A293" s="15">
        <v>292</v>
      </c>
      <c r="B293" s="16">
        <v>1150700</v>
      </c>
      <c r="C293" s="4" t="s">
        <v>462</v>
      </c>
      <c r="D293" s="25" t="s">
        <v>459</v>
      </c>
      <c r="E293" s="25" t="s">
        <v>249</v>
      </c>
      <c r="F293" s="4">
        <v>767778740</v>
      </c>
      <c r="G293" s="4">
        <v>143050</v>
      </c>
      <c r="H293" s="26">
        <v>1</v>
      </c>
      <c r="I293" s="28">
        <v>45465</v>
      </c>
      <c r="J293" s="27" t="s">
        <v>463</v>
      </c>
    </row>
    <row r="294" spans="1:10" thickTop="1" thickBot="1" x14ac:dyDescent="0.6">
      <c r="A294" s="15">
        <v>293</v>
      </c>
    </row>
    <row r="295" spans="1:10" thickTop="1" thickBot="1" x14ac:dyDescent="0.6">
      <c r="A295" s="15">
        <v>294</v>
      </c>
      <c r="B295" s="16">
        <v>1150635</v>
      </c>
      <c r="C295" s="4" t="s">
        <v>464</v>
      </c>
      <c r="D295" s="25" t="s">
        <v>323</v>
      </c>
      <c r="E295" s="25" t="s">
        <v>43</v>
      </c>
      <c r="F295" s="4">
        <v>726119766</v>
      </c>
      <c r="G295" s="4">
        <v>120629</v>
      </c>
      <c r="H295" s="26">
        <v>1</v>
      </c>
      <c r="I295" s="28">
        <v>45328</v>
      </c>
      <c r="J295" s="27">
        <v>197658803776</v>
      </c>
    </row>
    <row r="296" spans="1:10" thickTop="1" thickBot="1" x14ac:dyDescent="0.6">
      <c r="A296" s="15">
        <v>295</v>
      </c>
    </row>
    <row r="297" spans="1:10" thickTop="1" thickBot="1" x14ac:dyDescent="0.6">
      <c r="A297" s="15">
        <v>296</v>
      </c>
    </row>
    <row r="298" spans="1:10" thickTop="1" thickBot="1" x14ac:dyDescent="0.6">
      <c r="A298" s="15">
        <v>297</v>
      </c>
    </row>
    <row r="299" spans="1:10" thickTop="1" thickBot="1" x14ac:dyDescent="0.6">
      <c r="A299" s="15">
        <v>298</v>
      </c>
    </row>
    <row r="300" spans="1:10" thickTop="1" thickBot="1" x14ac:dyDescent="0.6">
      <c r="A300" s="15">
        <v>299</v>
      </c>
      <c r="B300" s="16">
        <v>1150772</v>
      </c>
      <c r="C300" s="4" t="s">
        <v>466</v>
      </c>
      <c r="E300" s="25" t="s">
        <v>43</v>
      </c>
      <c r="F300" s="4">
        <v>771963936</v>
      </c>
      <c r="G300" s="4">
        <v>147721</v>
      </c>
      <c r="H300" s="26">
        <v>1</v>
      </c>
      <c r="I300" s="28">
        <v>45520</v>
      </c>
      <c r="J300" s="27" t="s">
        <v>467</v>
      </c>
    </row>
    <row r="301" spans="1:10" thickTop="1" thickBot="1" x14ac:dyDescent="0.6">
      <c r="A301" s="15">
        <v>300</v>
      </c>
    </row>
    <row r="302" spans="1:10" thickTop="1" thickBot="1" x14ac:dyDescent="0.6">
      <c r="A302" s="15">
        <v>301</v>
      </c>
    </row>
    <row r="303" spans="1:10" thickTop="1" thickBot="1" x14ac:dyDescent="0.6">
      <c r="A303" s="15">
        <v>302</v>
      </c>
      <c r="B303" s="16">
        <v>1151106</v>
      </c>
      <c r="C303" s="4" t="s">
        <v>468</v>
      </c>
      <c r="D303" s="25" t="s">
        <v>469</v>
      </c>
      <c r="E303" s="25" t="s">
        <v>43</v>
      </c>
      <c r="F303" s="4">
        <v>774140578</v>
      </c>
      <c r="G303" s="4">
        <v>192800</v>
      </c>
      <c r="H303" s="26">
        <v>1</v>
      </c>
      <c r="I303" s="28">
        <v>45603</v>
      </c>
      <c r="J303" s="27" t="s">
        <v>470</v>
      </c>
    </row>
    <row r="304" spans="1:10" thickTop="1" thickBot="1" x14ac:dyDescent="0.6">
      <c r="A304" s="15">
        <v>303</v>
      </c>
      <c r="B304" s="16">
        <v>1150647</v>
      </c>
      <c r="C304" s="4" t="s">
        <v>471</v>
      </c>
      <c r="D304" s="25" t="s">
        <v>472</v>
      </c>
      <c r="E304" s="25" t="s">
        <v>6</v>
      </c>
      <c r="F304" s="4" t="s">
        <v>473</v>
      </c>
      <c r="G304" s="4">
        <v>125800</v>
      </c>
      <c r="H304" s="26">
        <v>1</v>
      </c>
      <c r="I304" s="28">
        <v>45350</v>
      </c>
      <c r="J304" s="27">
        <v>196936602095</v>
      </c>
    </row>
    <row r="305" spans="1:10" thickTop="1" thickBot="1" x14ac:dyDescent="0.6">
      <c r="A305" s="15">
        <v>304</v>
      </c>
      <c r="B305" s="16">
        <v>1150671</v>
      </c>
      <c r="C305" s="4" t="s">
        <v>474</v>
      </c>
      <c r="D305" s="25" t="s">
        <v>475</v>
      </c>
      <c r="E305" s="25" t="s">
        <v>238</v>
      </c>
      <c r="F305" s="4">
        <v>778119316</v>
      </c>
      <c r="G305" s="4">
        <v>116460</v>
      </c>
      <c r="H305" s="26">
        <v>1</v>
      </c>
      <c r="I305" s="28">
        <v>45412</v>
      </c>
      <c r="J305" s="27">
        <v>197222903045</v>
      </c>
    </row>
    <row r="306" spans="1:10" thickTop="1" thickBot="1" x14ac:dyDescent="0.6">
      <c r="A306" s="15">
        <v>305</v>
      </c>
      <c r="I306" s="30"/>
    </row>
    <row r="307" spans="1:10" thickTop="1" thickBot="1" x14ac:dyDescent="0.6">
      <c r="A307" s="15">
        <v>306</v>
      </c>
      <c r="I307" s="28"/>
    </row>
    <row r="308" spans="1:10" thickTop="1" thickBot="1" x14ac:dyDescent="0.6">
      <c r="A308" s="15">
        <v>307</v>
      </c>
      <c r="B308" s="16">
        <v>1151451</v>
      </c>
      <c r="C308" s="4" t="s">
        <v>2902</v>
      </c>
      <c r="D308" s="25" t="s">
        <v>232</v>
      </c>
      <c r="E308" s="25" t="s">
        <v>43</v>
      </c>
      <c r="F308" s="4" t="s">
        <v>2903</v>
      </c>
      <c r="G308" s="4">
        <v>515075</v>
      </c>
      <c r="H308" s="26">
        <v>1</v>
      </c>
      <c r="I308" s="28">
        <v>45746</v>
      </c>
      <c r="J308" s="27" t="s">
        <v>2904</v>
      </c>
    </row>
    <row r="309" spans="1:10" thickTop="1" thickBot="1" x14ac:dyDescent="0.6">
      <c r="A309" s="15">
        <v>308</v>
      </c>
      <c r="B309" s="16">
        <v>1150656</v>
      </c>
      <c r="C309" s="4" t="s">
        <v>476</v>
      </c>
      <c r="E309" s="25" t="s">
        <v>57</v>
      </c>
      <c r="F309" s="4">
        <v>714494658</v>
      </c>
      <c r="G309" s="4" t="str">
        <f>"0"&amp;93735</f>
        <v>093735</v>
      </c>
      <c r="H309" s="26">
        <v>1</v>
      </c>
      <c r="I309" s="28">
        <v>45381</v>
      </c>
      <c r="J309" s="27" t="s">
        <v>477</v>
      </c>
    </row>
    <row r="310" spans="1:10" thickTop="1" thickBot="1" x14ac:dyDescent="0.6">
      <c r="A310" s="15">
        <v>309</v>
      </c>
      <c r="B310" s="16">
        <v>1151059</v>
      </c>
      <c r="C310" s="4" t="s">
        <v>478</v>
      </c>
      <c r="E310" s="25" t="s">
        <v>43</v>
      </c>
      <c r="F310" s="4">
        <v>772491188</v>
      </c>
      <c r="G310" s="4">
        <v>371750</v>
      </c>
      <c r="H310" s="26">
        <v>1</v>
      </c>
      <c r="I310" s="28">
        <v>45601</v>
      </c>
      <c r="J310" s="27" t="s">
        <v>479</v>
      </c>
    </row>
    <row r="311" spans="1:10" thickTop="1" thickBot="1" x14ac:dyDescent="0.6">
      <c r="A311" s="15">
        <v>310</v>
      </c>
      <c r="B311" s="16">
        <v>1151208</v>
      </c>
      <c r="C311" s="4" t="s">
        <v>480</v>
      </c>
      <c r="D311" s="25" t="s">
        <v>481</v>
      </c>
      <c r="E311" s="25" t="s">
        <v>249</v>
      </c>
      <c r="F311" s="4" t="s">
        <v>482</v>
      </c>
      <c r="G311" s="4">
        <v>245624</v>
      </c>
      <c r="H311" s="26">
        <v>1</v>
      </c>
      <c r="I311" s="28">
        <v>45607</v>
      </c>
      <c r="J311" s="27">
        <v>196627100393</v>
      </c>
    </row>
    <row r="312" spans="1:10" thickTop="1" thickBot="1" x14ac:dyDescent="0.6">
      <c r="A312" s="15">
        <v>311</v>
      </c>
      <c r="B312" s="16">
        <v>1150064</v>
      </c>
      <c r="C312" s="4" t="s">
        <v>483</v>
      </c>
      <c r="D312" s="25" t="s">
        <v>484</v>
      </c>
      <c r="E312" s="25" t="s">
        <v>43</v>
      </c>
      <c r="F312" s="4" t="s">
        <v>485</v>
      </c>
      <c r="G312" s="4">
        <v>552492</v>
      </c>
      <c r="H312" s="26">
        <v>1</v>
      </c>
      <c r="I312" s="28">
        <v>45383</v>
      </c>
      <c r="J312" s="27" t="s">
        <v>486</v>
      </c>
    </row>
    <row r="313" spans="1:10" thickTop="1" thickBot="1" x14ac:dyDescent="0.6">
      <c r="A313" s="15">
        <v>312</v>
      </c>
      <c r="B313" s="16">
        <v>1150665</v>
      </c>
      <c r="C313" s="4" t="s">
        <v>121</v>
      </c>
      <c r="D313" s="25" t="s">
        <v>69</v>
      </c>
      <c r="E313" s="25" t="s">
        <v>63</v>
      </c>
      <c r="F313" s="4" t="s">
        <v>487</v>
      </c>
      <c r="G313" s="4" t="str">
        <f>"0"&amp;99179</f>
        <v>099179</v>
      </c>
      <c r="H313" s="26">
        <v>1</v>
      </c>
      <c r="I313" s="28">
        <v>45394</v>
      </c>
      <c r="J313" s="27">
        <v>200432504265</v>
      </c>
    </row>
    <row r="314" spans="1:10" thickTop="1" thickBot="1" x14ac:dyDescent="0.6">
      <c r="A314" s="15">
        <v>313</v>
      </c>
      <c r="I314" s="28"/>
    </row>
    <row r="315" spans="1:10" thickTop="1" thickBot="1" x14ac:dyDescent="0.6">
      <c r="A315" s="15">
        <v>314</v>
      </c>
      <c r="B315" s="16">
        <v>1150667</v>
      </c>
      <c r="C315" s="4" t="s">
        <v>2918</v>
      </c>
      <c r="D315" s="25" t="s">
        <v>243</v>
      </c>
      <c r="E315" s="25" t="s">
        <v>6</v>
      </c>
      <c r="F315" s="4" t="s">
        <v>488</v>
      </c>
      <c r="G315" s="4" t="str">
        <f>"0"&amp;86127</f>
        <v>086127</v>
      </c>
      <c r="H315" s="26">
        <v>1</v>
      </c>
      <c r="I315" s="28">
        <v>45399</v>
      </c>
      <c r="J315" s="27">
        <v>196820503755</v>
      </c>
    </row>
    <row r="316" spans="1:10" thickTop="1" thickBot="1" x14ac:dyDescent="0.6">
      <c r="A316" s="15">
        <v>315</v>
      </c>
    </row>
    <row r="317" spans="1:10" thickTop="1" thickBot="1" x14ac:dyDescent="0.6">
      <c r="A317" s="15">
        <v>316</v>
      </c>
      <c r="B317" s="16">
        <v>1150879</v>
      </c>
      <c r="C317" s="4" t="s">
        <v>489</v>
      </c>
      <c r="D317" s="25" t="s">
        <v>490</v>
      </c>
      <c r="E317" s="25" t="s">
        <v>43</v>
      </c>
      <c r="F317" s="4" t="s">
        <v>491</v>
      </c>
      <c r="G317" s="4">
        <v>112873</v>
      </c>
      <c r="H317" s="26">
        <v>1</v>
      </c>
      <c r="I317" s="28">
        <v>45572</v>
      </c>
      <c r="J317" s="27">
        <v>198403101996</v>
      </c>
    </row>
    <row r="318" spans="1:10" thickTop="1" thickBot="1" x14ac:dyDescent="0.6">
      <c r="A318" s="15">
        <v>317</v>
      </c>
    </row>
    <row r="319" spans="1:10" thickTop="1" thickBot="1" x14ac:dyDescent="0.6">
      <c r="A319" s="15">
        <v>318</v>
      </c>
      <c r="B319" s="16">
        <v>1150808</v>
      </c>
      <c r="C319" s="4" t="s">
        <v>492</v>
      </c>
      <c r="E319" s="25" t="s">
        <v>249</v>
      </c>
      <c r="F319" s="4" t="s">
        <v>493</v>
      </c>
      <c r="G319" s="4">
        <v>101314</v>
      </c>
      <c r="H319" s="26">
        <v>1</v>
      </c>
      <c r="I319" s="28">
        <v>45534</v>
      </c>
      <c r="J319" s="27" t="s">
        <v>494</v>
      </c>
    </row>
    <row r="320" spans="1:10" thickTop="1" thickBot="1" x14ac:dyDescent="0.6">
      <c r="A320" s="15">
        <v>319</v>
      </c>
    </row>
    <row r="321" spans="1:10" thickTop="1" thickBot="1" x14ac:dyDescent="0.6">
      <c r="A321" s="15">
        <v>320</v>
      </c>
      <c r="B321" s="16">
        <v>1151308</v>
      </c>
      <c r="C321" s="4" t="s">
        <v>495</v>
      </c>
      <c r="D321" s="25" t="s">
        <v>496</v>
      </c>
      <c r="E321" s="25" t="s">
        <v>78</v>
      </c>
      <c r="F321" s="4">
        <v>774389219</v>
      </c>
      <c r="G321" s="4">
        <v>218167</v>
      </c>
      <c r="H321" s="26">
        <v>1</v>
      </c>
      <c r="I321" s="28">
        <v>45620</v>
      </c>
    </row>
    <row r="322" spans="1:10" thickTop="1" thickBot="1" x14ac:dyDescent="0.6">
      <c r="A322" s="15">
        <v>321</v>
      </c>
    </row>
    <row r="323" spans="1:10" thickTop="1" thickBot="1" x14ac:dyDescent="0.6">
      <c r="A323" s="15">
        <v>322</v>
      </c>
    </row>
    <row r="324" spans="1:10" thickTop="1" thickBot="1" x14ac:dyDescent="0.6">
      <c r="A324" s="15">
        <v>323</v>
      </c>
    </row>
    <row r="325" spans="1:10" thickTop="1" thickBot="1" x14ac:dyDescent="0.6">
      <c r="A325" s="15">
        <v>324</v>
      </c>
      <c r="B325" s="16">
        <v>1151247</v>
      </c>
      <c r="C325" s="4" t="s">
        <v>498</v>
      </c>
      <c r="D325" s="25" t="s">
        <v>400</v>
      </c>
      <c r="E325" s="25" t="s">
        <v>23</v>
      </c>
      <c r="F325" s="4" t="s">
        <v>499</v>
      </c>
      <c r="G325" s="4">
        <v>198674</v>
      </c>
      <c r="H325" s="26">
        <v>1</v>
      </c>
      <c r="I325" s="28">
        <v>45609</v>
      </c>
      <c r="J325" s="27" t="s">
        <v>500</v>
      </c>
    </row>
    <row r="326" spans="1:10" thickTop="1" thickBot="1" x14ac:dyDescent="0.6">
      <c r="A326" s="15">
        <v>325</v>
      </c>
    </row>
    <row r="327" spans="1:10" thickTop="1" thickBot="1" x14ac:dyDescent="0.6">
      <c r="A327" s="15">
        <v>326</v>
      </c>
    </row>
    <row r="328" spans="1:10" thickTop="1" thickBot="1" x14ac:dyDescent="0.6">
      <c r="A328" s="15">
        <v>327</v>
      </c>
      <c r="B328" s="16">
        <v>1150942</v>
      </c>
      <c r="C328" s="4" t="s">
        <v>501</v>
      </c>
      <c r="D328" s="25" t="s">
        <v>502</v>
      </c>
      <c r="E328" s="25" t="s">
        <v>50</v>
      </c>
      <c r="F328" s="4">
        <v>714464785</v>
      </c>
      <c r="G328" s="4">
        <v>232135</v>
      </c>
      <c r="H328" s="26">
        <v>1</v>
      </c>
      <c r="I328" s="28">
        <v>45581</v>
      </c>
      <c r="J328" s="27" t="s">
        <v>503</v>
      </c>
    </row>
    <row r="329" spans="1:10" thickTop="1" thickBot="1" x14ac:dyDescent="0.6">
      <c r="A329" s="15">
        <v>328</v>
      </c>
      <c r="I329" s="28"/>
    </row>
    <row r="330" spans="1:10" thickTop="1" thickBot="1" x14ac:dyDescent="0.6">
      <c r="A330" s="15">
        <v>329</v>
      </c>
      <c r="B330" s="16">
        <v>1150090</v>
      </c>
      <c r="C330" s="4" t="s">
        <v>504</v>
      </c>
      <c r="D330" s="25" t="s">
        <v>207</v>
      </c>
      <c r="E330" s="25" t="s">
        <v>43</v>
      </c>
      <c r="F330" s="4" t="s">
        <v>505</v>
      </c>
      <c r="G330" s="4">
        <v>115314</v>
      </c>
      <c r="H330" s="26">
        <v>1</v>
      </c>
      <c r="I330" s="28">
        <v>45504</v>
      </c>
      <c r="J330" s="27" t="s">
        <v>506</v>
      </c>
    </row>
    <row r="331" spans="1:10" thickTop="1" thickBot="1" x14ac:dyDescent="0.6">
      <c r="A331" s="15">
        <v>330</v>
      </c>
      <c r="I331" s="28"/>
    </row>
    <row r="332" spans="1:10" thickTop="1" thickBot="1" x14ac:dyDescent="0.6">
      <c r="A332" s="15">
        <v>331</v>
      </c>
      <c r="B332" s="16">
        <v>1151319</v>
      </c>
      <c r="C332" s="4" t="s">
        <v>508</v>
      </c>
      <c r="D332" s="25" t="s">
        <v>509</v>
      </c>
      <c r="E332" s="25" t="s">
        <v>43</v>
      </c>
      <c r="F332" s="4" t="s">
        <v>510</v>
      </c>
      <c r="G332" s="4">
        <v>281462</v>
      </c>
      <c r="H332" s="26">
        <v>1</v>
      </c>
      <c r="I332" s="28">
        <v>45623</v>
      </c>
      <c r="J332" s="27" t="s">
        <v>511</v>
      </c>
    </row>
    <row r="333" spans="1:10" thickTop="1" thickBot="1" x14ac:dyDescent="0.6">
      <c r="A333" s="15">
        <v>332</v>
      </c>
      <c r="B333" s="16">
        <v>1151338</v>
      </c>
      <c r="C333" s="4" t="s">
        <v>512</v>
      </c>
      <c r="E333" s="25" t="s">
        <v>23</v>
      </c>
      <c r="F333" s="4">
        <v>714482173</v>
      </c>
      <c r="G333" s="4">
        <v>178130</v>
      </c>
      <c r="H333" s="26">
        <v>1</v>
      </c>
      <c r="I333" s="28">
        <v>45635</v>
      </c>
      <c r="J333" s="27" t="s">
        <v>513</v>
      </c>
    </row>
    <row r="334" spans="1:10" thickTop="1" thickBot="1" x14ac:dyDescent="0.6">
      <c r="A334" s="15">
        <v>333</v>
      </c>
    </row>
    <row r="335" spans="1:10" thickTop="1" thickBot="1" x14ac:dyDescent="0.6">
      <c r="A335" s="15">
        <v>334</v>
      </c>
      <c r="B335" s="16">
        <v>1151323</v>
      </c>
      <c r="C335" s="4" t="s">
        <v>514</v>
      </c>
      <c r="E335" s="25" t="s">
        <v>57</v>
      </c>
      <c r="F335" s="4" t="s">
        <v>515</v>
      </c>
      <c r="G335" s="4">
        <v>168123</v>
      </c>
      <c r="H335" s="26">
        <v>1</v>
      </c>
      <c r="I335" s="28">
        <v>45625</v>
      </c>
      <c r="J335" s="27" t="s">
        <v>516</v>
      </c>
    </row>
    <row r="336" spans="1:10" thickTop="1" thickBot="1" x14ac:dyDescent="0.6">
      <c r="A336" s="15">
        <v>335</v>
      </c>
      <c r="B336" s="16">
        <v>1151298</v>
      </c>
      <c r="C336" s="4" t="s">
        <v>517</v>
      </c>
      <c r="D336" s="25" t="s">
        <v>518</v>
      </c>
      <c r="E336" s="25" t="s">
        <v>238</v>
      </c>
      <c r="F336" s="4" t="s">
        <v>519</v>
      </c>
      <c r="G336" s="4">
        <v>314768</v>
      </c>
      <c r="H336" s="26">
        <v>1</v>
      </c>
      <c r="I336" s="28">
        <v>45613</v>
      </c>
      <c r="J336" s="27">
        <v>501201910</v>
      </c>
    </row>
    <row r="337" spans="1:10" thickTop="1" thickBot="1" x14ac:dyDescent="0.6">
      <c r="A337" s="15">
        <v>336</v>
      </c>
      <c r="I337" s="28"/>
    </row>
    <row r="338" spans="1:10" thickTop="1" thickBot="1" x14ac:dyDescent="0.6">
      <c r="A338" s="15">
        <v>337</v>
      </c>
      <c r="B338" s="16">
        <v>1150706</v>
      </c>
      <c r="C338" s="4" t="s">
        <v>520</v>
      </c>
      <c r="D338" s="25" t="s">
        <v>194</v>
      </c>
      <c r="E338" s="25" t="s">
        <v>23</v>
      </c>
      <c r="F338" s="4" t="s">
        <v>521</v>
      </c>
      <c r="G338" s="4" t="str">
        <f>"0"&amp;95235</f>
        <v>095235</v>
      </c>
      <c r="H338" s="26">
        <v>1</v>
      </c>
      <c r="I338" s="28">
        <v>45469</v>
      </c>
      <c r="J338" s="27" t="s">
        <v>522</v>
      </c>
    </row>
    <row r="339" spans="1:10" thickTop="1" thickBot="1" x14ac:dyDescent="0.6">
      <c r="A339" s="15">
        <v>338</v>
      </c>
    </row>
    <row r="340" spans="1:10" thickTop="1" thickBot="1" x14ac:dyDescent="0.6">
      <c r="A340" s="15">
        <v>339</v>
      </c>
      <c r="B340" s="16">
        <v>1150670</v>
      </c>
      <c r="C340" s="4" t="s">
        <v>523</v>
      </c>
      <c r="D340" s="25" t="s">
        <v>524</v>
      </c>
      <c r="E340" s="25" t="s">
        <v>57</v>
      </c>
      <c r="F340" s="4">
        <v>775739023</v>
      </c>
      <c r="G340" s="4">
        <v>126295</v>
      </c>
      <c r="H340" s="26">
        <v>1</v>
      </c>
      <c r="I340" s="28">
        <v>45407</v>
      </c>
      <c r="J340" s="27" t="s">
        <v>525</v>
      </c>
    </row>
    <row r="341" spans="1:10" thickTop="1" thickBot="1" x14ac:dyDescent="0.6">
      <c r="A341" s="15">
        <v>340</v>
      </c>
      <c r="B341" s="16">
        <v>1150478</v>
      </c>
      <c r="C341" s="4" t="s">
        <v>526</v>
      </c>
      <c r="D341" s="25" t="s">
        <v>527</v>
      </c>
      <c r="E341" s="25" t="s">
        <v>238</v>
      </c>
      <c r="F341" s="4">
        <v>772551130</v>
      </c>
      <c r="G341" s="4" t="str">
        <f>"0"&amp;22437</f>
        <v>022437</v>
      </c>
      <c r="H341" s="26">
        <v>1</v>
      </c>
      <c r="I341" s="28">
        <v>45093</v>
      </c>
      <c r="J341" s="27" t="s">
        <v>528</v>
      </c>
    </row>
    <row r="342" spans="1:10" thickTop="1" thickBot="1" x14ac:dyDescent="0.6">
      <c r="A342" s="15">
        <v>341</v>
      </c>
    </row>
    <row r="343" spans="1:10" thickTop="1" thickBot="1" x14ac:dyDescent="0.6">
      <c r="A343" s="15">
        <v>342</v>
      </c>
      <c r="B343" s="16">
        <v>1150672</v>
      </c>
      <c r="C343" s="4" t="s">
        <v>529</v>
      </c>
      <c r="D343" s="25" t="s">
        <v>530</v>
      </c>
      <c r="E343" s="25" t="s">
        <v>78</v>
      </c>
      <c r="F343" s="4">
        <v>777977419</v>
      </c>
      <c r="G343" s="4">
        <v>102650</v>
      </c>
      <c r="H343" s="26">
        <v>1</v>
      </c>
      <c r="I343" s="28">
        <v>45413</v>
      </c>
      <c r="J343" s="27" t="s">
        <v>531</v>
      </c>
    </row>
    <row r="344" spans="1:10" thickTop="1" thickBot="1" x14ac:dyDescent="0.6">
      <c r="A344" s="15">
        <v>343</v>
      </c>
      <c r="B344" s="16">
        <v>1150922</v>
      </c>
      <c r="C344" s="4" t="s">
        <v>532</v>
      </c>
      <c r="D344" s="25" t="s">
        <v>155</v>
      </c>
      <c r="E344" s="25" t="s">
        <v>238</v>
      </c>
      <c r="F344" s="4">
        <v>718189098</v>
      </c>
      <c r="G344" s="4">
        <v>282114</v>
      </c>
      <c r="H344" s="26">
        <v>1</v>
      </c>
      <c r="I344" s="28">
        <v>45578</v>
      </c>
      <c r="J344" s="27" t="s">
        <v>533</v>
      </c>
    </row>
    <row r="345" spans="1:10" thickTop="1" thickBot="1" x14ac:dyDescent="0.6">
      <c r="A345" s="15">
        <v>344</v>
      </c>
      <c r="B345" s="16">
        <v>1151199</v>
      </c>
      <c r="C345" s="4" t="s">
        <v>534</v>
      </c>
      <c r="D345" s="25" t="s">
        <v>535</v>
      </c>
      <c r="E345" s="25" t="s">
        <v>238</v>
      </c>
      <c r="F345" s="4" t="s">
        <v>536</v>
      </c>
      <c r="G345" s="4">
        <v>453491</v>
      </c>
      <c r="H345" s="26">
        <v>1</v>
      </c>
      <c r="I345" s="28">
        <v>45607</v>
      </c>
      <c r="J345" s="27" t="s">
        <v>537</v>
      </c>
    </row>
    <row r="346" spans="1:10" thickTop="1" thickBot="1" x14ac:dyDescent="0.6">
      <c r="A346" s="15">
        <v>345</v>
      </c>
    </row>
    <row r="347" spans="1:10" thickTop="1" thickBot="1" x14ac:dyDescent="0.6">
      <c r="A347" s="15">
        <v>346</v>
      </c>
    </row>
    <row r="348" spans="1:10" thickTop="1" thickBot="1" x14ac:dyDescent="0.6">
      <c r="A348" s="15">
        <v>347</v>
      </c>
    </row>
    <row r="349" spans="1:10" thickTop="1" thickBot="1" x14ac:dyDescent="0.6">
      <c r="A349" s="15">
        <v>348</v>
      </c>
    </row>
    <row r="350" spans="1:10" thickTop="1" thickBot="1" x14ac:dyDescent="0.6">
      <c r="A350" s="15">
        <v>349</v>
      </c>
      <c r="B350" s="16">
        <v>1151477</v>
      </c>
      <c r="C350" s="4" t="s">
        <v>2978</v>
      </c>
      <c r="D350" s="25" t="s">
        <v>2977</v>
      </c>
      <c r="E350" s="25" t="s">
        <v>23</v>
      </c>
      <c r="F350" s="4">
        <v>713766261</v>
      </c>
      <c r="G350" s="4">
        <v>419377</v>
      </c>
      <c r="H350" s="26">
        <v>1</v>
      </c>
      <c r="I350" s="28">
        <v>45762</v>
      </c>
      <c r="J350" s="27">
        <v>198374300941</v>
      </c>
    </row>
    <row r="351" spans="1:10" thickTop="1" thickBot="1" x14ac:dyDescent="0.6">
      <c r="A351" s="15">
        <v>350</v>
      </c>
    </row>
    <row r="352" spans="1:10" thickTop="1" thickBot="1" x14ac:dyDescent="0.6">
      <c r="A352" s="15">
        <v>351</v>
      </c>
      <c r="B352" s="16">
        <v>1150860</v>
      </c>
      <c r="C352" s="4" t="s">
        <v>538</v>
      </c>
      <c r="D352" s="25" t="s">
        <v>539</v>
      </c>
      <c r="E352" s="25" t="s">
        <v>24</v>
      </c>
      <c r="F352" s="4">
        <v>772156459</v>
      </c>
      <c r="G352" s="4">
        <v>164833</v>
      </c>
      <c r="H352" s="26">
        <v>1</v>
      </c>
      <c r="I352" s="28">
        <v>45568</v>
      </c>
    </row>
    <row r="353" spans="1:10" thickTop="1" thickBot="1" x14ac:dyDescent="0.6">
      <c r="A353" s="15">
        <v>352</v>
      </c>
      <c r="B353" s="16">
        <v>1150669</v>
      </c>
      <c r="C353" s="4" t="s">
        <v>540</v>
      </c>
      <c r="D353" s="25" t="s">
        <v>541</v>
      </c>
      <c r="E353" s="25" t="s">
        <v>238</v>
      </c>
      <c r="F353" s="4" t="s">
        <v>542</v>
      </c>
      <c r="G353" s="4">
        <v>111156</v>
      </c>
      <c r="H353" s="26">
        <v>1</v>
      </c>
      <c r="I353" s="28">
        <v>45419</v>
      </c>
      <c r="J353" s="27" t="s">
        <v>543</v>
      </c>
    </row>
    <row r="354" spans="1:10" thickTop="1" thickBot="1" x14ac:dyDescent="0.6">
      <c r="A354" s="15">
        <v>353</v>
      </c>
    </row>
    <row r="355" spans="1:10" thickTop="1" thickBot="1" x14ac:dyDescent="0.6">
      <c r="A355" s="15">
        <v>354</v>
      </c>
      <c r="B355" s="16">
        <v>1150427</v>
      </c>
      <c r="C355" s="4" t="s">
        <v>544</v>
      </c>
      <c r="D355" s="25" t="s">
        <v>545</v>
      </c>
      <c r="E355" s="25" t="s">
        <v>57</v>
      </c>
      <c r="F355" s="4" t="s">
        <v>546</v>
      </c>
      <c r="G355" s="4">
        <v>125081</v>
      </c>
      <c r="H355" s="26">
        <v>1</v>
      </c>
      <c r="I355" s="28">
        <v>44971</v>
      </c>
      <c r="J355" s="27" t="s">
        <v>547</v>
      </c>
    </row>
    <row r="356" spans="1:10" thickTop="1" thickBot="1" x14ac:dyDescent="0.6">
      <c r="A356" s="15">
        <v>355</v>
      </c>
      <c r="I356" s="28"/>
    </row>
    <row r="357" spans="1:10" thickTop="1" thickBot="1" x14ac:dyDescent="0.6">
      <c r="A357" s="15">
        <v>356</v>
      </c>
      <c r="B357" s="16">
        <v>1151538</v>
      </c>
      <c r="C357" s="4" t="s">
        <v>548</v>
      </c>
      <c r="D357" s="25" t="s">
        <v>239</v>
      </c>
      <c r="E357" s="25" t="s">
        <v>23</v>
      </c>
      <c r="F357" s="4">
        <v>779514942</v>
      </c>
      <c r="G357" s="4">
        <v>665626</v>
      </c>
      <c r="H357" s="26">
        <v>1</v>
      </c>
    </row>
    <row r="358" spans="1:10" thickTop="1" thickBot="1" x14ac:dyDescent="0.6">
      <c r="A358" s="15">
        <v>357</v>
      </c>
    </row>
    <row r="359" spans="1:10" thickTop="1" thickBot="1" x14ac:dyDescent="0.6">
      <c r="A359" s="15">
        <v>358</v>
      </c>
      <c r="B359" s="16">
        <v>1151508</v>
      </c>
      <c r="C359" s="4" t="s">
        <v>3079</v>
      </c>
      <c r="D359" s="25" t="s">
        <v>207</v>
      </c>
      <c r="E359" s="25" t="s">
        <v>23</v>
      </c>
      <c r="F359" s="4" t="s">
        <v>3080</v>
      </c>
      <c r="G359" s="4">
        <v>438153</v>
      </c>
      <c r="H359" s="26">
        <v>1</v>
      </c>
      <c r="I359" s="28">
        <v>45791</v>
      </c>
      <c r="J359" s="27" t="s">
        <v>3081</v>
      </c>
    </row>
    <row r="360" spans="1:10" thickTop="1" thickBot="1" x14ac:dyDescent="0.6">
      <c r="A360" s="15">
        <v>359</v>
      </c>
      <c r="B360" s="16">
        <v>1150754</v>
      </c>
      <c r="C360" s="4" t="s">
        <v>550</v>
      </c>
      <c r="D360" s="25" t="s">
        <v>551</v>
      </c>
      <c r="E360" s="25" t="s">
        <v>23</v>
      </c>
      <c r="F360" s="4" t="s">
        <v>552</v>
      </c>
      <c r="G360" s="4" t="str">
        <f>"0"&amp;75039</f>
        <v>075039</v>
      </c>
      <c r="H360" s="26">
        <v>1</v>
      </c>
      <c r="I360" s="28">
        <v>45498</v>
      </c>
      <c r="J360" s="27">
        <v>196304500292</v>
      </c>
    </row>
    <row r="361" spans="1:10" thickTop="1" thickBot="1" x14ac:dyDescent="0.6">
      <c r="A361" s="15">
        <v>360</v>
      </c>
    </row>
    <row r="362" spans="1:10" thickTop="1" thickBot="1" x14ac:dyDescent="0.6">
      <c r="A362" s="15">
        <v>361</v>
      </c>
    </row>
    <row r="363" spans="1:10" thickTop="1" thickBot="1" x14ac:dyDescent="0.6">
      <c r="A363" s="15">
        <v>362</v>
      </c>
      <c r="B363" s="16">
        <v>1150676</v>
      </c>
      <c r="C363" s="4" t="s">
        <v>553</v>
      </c>
      <c r="D363" s="25" t="s">
        <v>97</v>
      </c>
      <c r="E363" s="25" t="s">
        <v>43</v>
      </c>
      <c r="F363" s="4">
        <v>710873330</v>
      </c>
      <c r="G363" s="4">
        <v>151764</v>
      </c>
      <c r="H363" s="26">
        <v>1</v>
      </c>
      <c r="I363" s="28">
        <v>45420</v>
      </c>
      <c r="J363" s="27" t="s">
        <v>554</v>
      </c>
    </row>
    <row r="364" spans="1:10" thickTop="1" thickBot="1" x14ac:dyDescent="0.6">
      <c r="A364" s="15">
        <v>363</v>
      </c>
      <c r="B364" s="16">
        <v>1150679</v>
      </c>
      <c r="C364" s="4" t="s">
        <v>555</v>
      </c>
      <c r="D364" s="25" t="s">
        <v>556</v>
      </c>
      <c r="E364" s="25" t="s">
        <v>78</v>
      </c>
      <c r="F364" s="4">
        <v>775490305</v>
      </c>
      <c r="G364" s="4">
        <v>110075</v>
      </c>
      <c r="H364" s="26">
        <v>1</v>
      </c>
      <c r="I364" s="28">
        <v>45427</v>
      </c>
      <c r="J364" s="27" t="s">
        <v>557</v>
      </c>
    </row>
    <row r="365" spans="1:10" thickTop="1" thickBot="1" x14ac:dyDescent="0.6">
      <c r="A365" s="15">
        <v>364</v>
      </c>
      <c r="B365" s="16">
        <v>1151152</v>
      </c>
      <c r="C365" s="4" t="s">
        <v>558</v>
      </c>
      <c r="D365" s="25" t="s">
        <v>559</v>
      </c>
      <c r="E365" s="25" t="s">
        <v>135</v>
      </c>
      <c r="F365" s="4">
        <v>763915032</v>
      </c>
      <c r="G365" s="4">
        <v>203425</v>
      </c>
      <c r="H365" s="26">
        <v>1</v>
      </c>
      <c r="I365" s="28">
        <v>45605</v>
      </c>
      <c r="J365" s="27" t="s">
        <v>560</v>
      </c>
    </row>
    <row r="366" spans="1:10" thickTop="1" thickBot="1" x14ac:dyDescent="0.6">
      <c r="A366" s="15">
        <v>365</v>
      </c>
    </row>
    <row r="367" spans="1:10" thickTop="1" thickBot="1" x14ac:dyDescent="0.6">
      <c r="A367" s="15">
        <v>366</v>
      </c>
      <c r="B367" s="16">
        <v>1151352</v>
      </c>
      <c r="C367" s="4" t="s">
        <v>561</v>
      </c>
      <c r="D367" s="25" t="s">
        <v>562</v>
      </c>
      <c r="E367" s="25" t="s">
        <v>161</v>
      </c>
      <c r="F367" s="4">
        <v>777198484</v>
      </c>
      <c r="G367" s="4">
        <v>625148</v>
      </c>
      <c r="H367" s="26">
        <v>1</v>
      </c>
      <c r="I367" s="28">
        <v>45685</v>
      </c>
    </row>
    <row r="368" spans="1:10" thickTop="1" thickBot="1" x14ac:dyDescent="0.6">
      <c r="A368" s="15">
        <v>367</v>
      </c>
      <c r="B368" s="16">
        <v>1150019</v>
      </c>
      <c r="C368" s="4" t="s">
        <v>563</v>
      </c>
      <c r="E368" s="25" t="s">
        <v>95</v>
      </c>
      <c r="G368" s="4">
        <v>334834</v>
      </c>
      <c r="H368" s="26">
        <v>1</v>
      </c>
      <c r="I368" s="28">
        <v>45094</v>
      </c>
    </row>
    <row r="369" spans="1:10" thickTop="1" thickBot="1" x14ac:dyDescent="0.6">
      <c r="A369" s="15">
        <v>368</v>
      </c>
      <c r="B369" s="16">
        <v>1150678</v>
      </c>
      <c r="C369" s="4" t="s">
        <v>564</v>
      </c>
      <c r="D369" s="25" t="s">
        <v>565</v>
      </c>
      <c r="E369" s="25" t="s">
        <v>57</v>
      </c>
      <c r="F369" s="4">
        <v>715109750</v>
      </c>
      <c r="G369" s="4" t="str">
        <f>"0"&amp;91051</f>
        <v>091051</v>
      </c>
      <c r="H369" s="26">
        <v>1</v>
      </c>
      <c r="I369" s="28">
        <v>45427</v>
      </c>
      <c r="J369" s="27">
        <v>197604410097</v>
      </c>
    </row>
    <row r="370" spans="1:10" thickTop="1" thickBot="1" x14ac:dyDescent="0.6">
      <c r="A370" s="15">
        <v>369</v>
      </c>
    </row>
    <row r="371" spans="1:10" thickTop="1" thickBot="1" x14ac:dyDescent="0.6">
      <c r="A371" s="15">
        <v>370</v>
      </c>
    </row>
    <row r="372" spans="1:10" thickTop="1" thickBot="1" x14ac:dyDescent="0.6">
      <c r="A372" s="15">
        <v>371</v>
      </c>
      <c r="B372" s="16">
        <v>1151537</v>
      </c>
      <c r="C372" s="4" t="s">
        <v>566</v>
      </c>
      <c r="D372" s="25" t="s">
        <v>567</v>
      </c>
      <c r="E372" s="25" t="s">
        <v>135</v>
      </c>
      <c r="F372" s="4">
        <v>779762612</v>
      </c>
      <c r="G372" s="4">
        <v>139928</v>
      </c>
      <c r="H372" s="26">
        <v>1</v>
      </c>
    </row>
    <row r="373" spans="1:10" thickTop="1" thickBot="1" x14ac:dyDescent="0.6">
      <c r="A373" s="15">
        <v>372</v>
      </c>
      <c r="B373" s="16">
        <v>1150597</v>
      </c>
      <c r="C373" s="4" t="s">
        <v>568</v>
      </c>
      <c r="D373" s="25" t="s">
        <v>569</v>
      </c>
      <c r="E373" s="25" t="s">
        <v>23</v>
      </c>
      <c r="F373" s="4" t="s">
        <v>570</v>
      </c>
      <c r="G373" s="4">
        <v>157035</v>
      </c>
      <c r="H373" s="26">
        <v>1</v>
      </c>
      <c r="I373" s="28">
        <v>45299</v>
      </c>
      <c r="J373" s="27" t="s">
        <v>571</v>
      </c>
    </row>
    <row r="374" spans="1:10" thickTop="1" thickBot="1" x14ac:dyDescent="0.6">
      <c r="A374" s="15">
        <v>373</v>
      </c>
    </row>
    <row r="375" spans="1:10" thickTop="1" thickBot="1" x14ac:dyDescent="0.6">
      <c r="A375" s="15">
        <v>374</v>
      </c>
      <c r="C375" s="4" t="s">
        <v>572</v>
      </c>
      <c r="E375" s="25" t="s">
        <v>573</v>
      </c>
      <c r="F375" s="4">
        <v>743512229</v>
      </c>
      <c r="G375" s="4">
        <v>234794</v>
      </c>
      <c r="H375" s="26">
        <v>1</v>
      </c>
      <c r="I375" s="28">
        <v>44992</v>
      </c>
      <c r="J375" s="27" t="s">
        <v>574</v>
      </c>
    </row>
    <row r="376" spans="1:10" thickTop="1" thickBot="1" x14ac:dyDescent="0.6">
      <c r="A376" s="15">
        <v>375</v>
      </c>
      <c r="I376" s="28"/>
    </row>
    <row r="377" spans="1:10" thickTop="1" thickBot="1" x14ac:dyDescent="0.6">
      <c r="A377" s="15">
        <v>376</v>
      </c>
    </row>
    <row r="378" spans="1:10" thickTop="1" thickBot="1" x14ac:dyDescent="0.6">
      <c r="A378" s="15">
        <v>377</v>
      </c>
    </row>
    <row r="379" spans="1:10" thickTop="1" thickBot="1" x14ac:dyDescent="0.6">
      <c r="A379" s="15">
        <v>378</v>
      </c>
    </row>
    <row r="380" spans="1:10" thickTop="1" thickBot="1" x14ac:dyDescent="0.6">
      <c r="A380" s="15">
        <v>379</v>
      </c>
      <c r="B380" s="16">
        <v>1150680</v>
      </c>
      <c r="C380" s="4" t="s">
        <v>575</v>
      </c>
      <c r="D380" s="25" t="s">
        <v>576</v>
      </c>
      <c r="E380" s="25" t="s">
        <v>17</v>
      </c>
      <c r="F380" s="4">
        <v>718311094</v>
      </c>
      <c r="G380" s="4">
        <v>112717</v>
      </c>
      <c r="H380" s="26">
        <v>1</v>
      </c>
      <c r="I380" s="28">
        <v>45428</v>
      </c>
      <c r="J380" s="27" t="s">
        <v>577</v>
      </c>
    </row>
    <row r="381" spans="1:10" thickTop="1" thickBot="1" x14ac:dyDescent="0.6">
      <c r="A381" s="15">
        <v>380</v>
      </c>
    </row>
    <row r="382" spans="1:10" thickTop="1" thickBot="1" x14ac:dyDescent="0.6">
      <c r="A382" s="15">
        <v>381</v>
      </c>
    </row>
    <row r="383" spans="1:10" thickTop="1" thickBot="1" x14ac:dyDescent="0.6">
      <c r="A383" s="15">
        <v>382</v>
      </c>
      <c r="B383" s="16">
        <v>1150661</v>
      </c>
      <c r="C383" s="4" t="s">
        <v>579</v>
      </c>
      <c r="D383" s="25" t="s">
        <v>578</v>
      </c>
      <c r="E383" s="25" t="s">
        <v>507</v>
      </c>
      <c r="F383" s="4">
        <v>775937071</v>
      </c>
      <c r="G383" s="4" t="str">
        <f>"0"&amp;97157</f>
        <v>097157</v>
      </c>
      <c r="H383" s="26">
        <v>1</v>
      </c>
      <c r="I383" s="28">
        <v>45390</v>
      </c>
      <c r="J383" s="27" t="s">
        <v>580</v>
      </c>
    </row>
    <row r="384" spans="1:10" thickTop="1" thickBot="1" x14ac:dyDescent="0.6">
      <c r="A384" s="15">
        <v>383</v>
      </c>
    </row>
    <row r="385" spans="1:10" thickTop="1" thickBot="1" x14ac:dyDescent="0.6">
      <c r="A385" s="15">
        <v>384</v>
      </c>
      <c r="B385" s="16">
        <v>1150707</v>
      </c>
      <c r="C385" s="4" t="s">
        <v>581</v>
      </c>
      <c r="E385" s="25" t="s">
        <v>57</v>
      </c>
      <c r="F385" s="4">
        <v>771134145</v>
      </c>
      <c r="G385" s="4" t="str">
        <f>"0"&amp;88131</f>
        <v>088131</v>
      </c>
      <c r="H385" s="26">
        <v>1</v>
      </c>
      <c r="I385" s="28">
        <v>45469</v>
      </c>
      <c r="J385" s="27" t="s">
        <v>582</v>
      </c>
    </row>
    <row r="386" spans="1:10" thickTop="1" thickBot="1" x14ac:dyDescent="0.6">
      <c r="A386" s="15">
        <v>385</v>
      </c>
    </row>
    <row r="387" spans="1:10" thickTop="1" thickBot="1" x14ac:dyDescent="0.6">
      <c r="A387" s="15">
        <v>386</v>
      </c>
      <c r="B387" s="16">
        <v>1151047</v>
      </c>
      <c r="C387" s="4" t="s">
        <v>583</v>
      </c>
      <c r="D387" s="25" t="s">
        <v>584</v>
      </c>
      <c r="E387" s="25" t="s">
        <v>50</v>
      </c>
      <c r="F387" s="4">
        <v>717474194</v>
      </c>
      <c r="G387" s="4">
        <v>323488</v>
      </c>
      <c r="H387" s="26">
        <v>1</v>
      </c>
      <c r="I387" s="28">
        <v>45600</v>
      </c>
      <c r="J387" s="27">
        <v>198034701732</v>
      </c>
    </row>
    <row r="388" spans="1:10" thickTop="1" thickBot="1" x14ac:dyDescent="0.6">
      <c r="A388" s="15">
        <v>387</v>
      </c>
      <c r="B388" s="16">
        <v>1151264</v>
      </c>
      <c r="C388" s="4" t="s">
        <v>585</v>
      </c>
      <c r="D388" s="25" t="s">
        <v>584</v>
      </c>
      <c r="E388" s="25" t="s">
        <v>50</v>
      </c>
      <c r="F388" s="4">
        <v>774133741</v>
      </c>
      <c r="G388" s="4">
        <v>176886</v>
      </c>
      <c r="H388" s="26">
        <v>1</v>
      </c>
      <c r="I388" s="28">
        <v>45610</v>
      </c>
      <c r="J388" s="27" t="s">
        <v>586</v>
      </c>
    </row>
    <row r="389" spans="1:10" thickTop="1" thickBot="1" x14ac:dyDescent="0.6">
      <c r="A389" s="15">
        <v>388</v>
      </c>
      <c r="B389" s="16">
        <v>1150818</v>
      </c>
      <c r="C389" s="4" t="s">
        <v>587</v>
      </c>
      <c r="D389" s="25" t="s">
        <v>588</v>
      </c>
      <c r="E389" s="25" t="s">
        <v>50</v>
      </c>
      <c r="F389" s="4">
        <v>768373514</v>
      </c>
      <c r="G389" s="4">
        <v>145220</v>
      </c>
      <c r="H389" s="26">
        <v>1</v>
      </c>
      <c r="I389" s="28">
        <v>45537</v>
      </c>
      <c r="J389" s="27" t="s">
        <v>589</v>
      </c>
    </row>
    <row r="390" spans="1:10" thickTop="1" thickBot="1" x14ac:dyDescent="0.6">
      <c r="A390" s="15">
        <v>389</v>
      </c>
    </row>
    <row r="391" spans="1:10" thickTop="1" thickBot="1" x14ac:dyDescent="0.6">
      <c r="A391" s="15">
        <v>390</v>
      </c>
      <c r="B391" s="16">
        <v>1151140</v>
      </c>
      <c r="C391" s="4" t="s">
        <v>590</v>
      </c>
      <c r="E391" s="25" t="s">
        <v>23</v>
      </c>
      <c r="F391" s="4">
        <v>770823287</v>
      </c>
      <c r="G391" s="4">
        <v>318827</v>
      </c>
      <c r="H391" s="26">
        <v>1</v>
      </c>
      <c r="I391" s="28">
        <v>45605</v>
      </c>
    </row>
    <row r="392" spans="1:10" thickTop="1" thickBot="1" x14ac:dyDescent="0.6">
      <c r="A392" s="15">
        <v>391</v>
      </c>
      <c r="B392" s="16">
        <v>1150464</v>
      </c>
      <c r="C392" s="4" t="s">
        <v>591</v>
      </c>
      <c r="D392" s="25" t="s">
        <v>465</v>
      </c>
      <c r="E392" s="25" t="s">
        <v>43</v>
      </c>
      <c r="F392" s="4" t="s">
        <v>592</v>
      </c>
      <c r="G392" s="4" t="str">
        <f>"0"&amp;59405</f>
        <v>059405</v>
      </c>
      <c r="H392" s="26">
        <v>1</v>
      </c>
      <c r="I392" s="28">
        <v>45065</v>
      </c>
      <c r="J392" s="27" t="s">
        <v>593</v>
      </c>
    </row>
    <row r="393" spans="1:10" thickTop="1" thickBot="1" x14ac:dyDescent="0.6">
      <c r="A393" s="15">
        <v>392</v>
      </c>
    </row>
    <row r="394" spans="1:10" thickTop="1" thickBot="1" x14ac:dyDescent="0.6">
      <c r="A394" s="15">
        <v>393</v>
      </c>
      <c r="B394" s="16">
        <v>1150552</v>
      </c>
      <c r="C394" s="4" t="s">
        <v>594</v>
      </c>
      <c r="D394" s="25" t="s">
        <v>595</v>
      </c>
      <c r="E394" s="25" t="s">
        <v>50</v>
      </c>
      <c r="F394" s="4">
        <v>769108552</v>
      </c>
      <c r="G394" s="4" t="s">
        <v>596</v>
      </c>
      <c r="H394" s="26">
        <v>2</v>
      </c>
      <c r="I394" s="28">
        <v>45318</v>
      </c>
      <c r="J394" s="27" t="s">
        <v>597</v>
      </c>
    </row>
    <row r="395" spans="1:10" thickTop="1" thickBot="1" x14ac:dyDescent="0.6">
      <c r="A395" s="15">
        <v>394</v>
      </c>
    </row>
    <row r="396" spans="1:10" thickTop="1" thickBot="1" x14ac:dyDescent="0.6">
      <c r="A396" s="15">
        <v>395</v>
      </c>
    </row>
    <row r="397" spans="1:10" thickTop="1" thickBot="1" x14ac:dyDescent="0.6">
      <c r="A397" s="15">
        <v>396</v>
      </c>
      <c r="B397" s="16">
        <v>1151060</v>
      </c>
      <c r="C397" s="4" t="s">
        <v>598</v>
      </c>
      <c r="D397" s="25" t="s">
        <v>599</v>
      </c>
      <c r="E397" s="25" t="s">
        <v>238</v>
      </c>
      <c r="F397" s="4" t="s">
        <v>600</v>
      </c>
      <c r="G397" s="4">
        <v>347768</v>
      </c>
      <c r="H397" s="26">
        <v>1</v>
      </c>
      <c r="I397" s="28">
        <v>45601</v>
      </c>
      <c r="J397" s="27">
        <v>195104702179</v>
      </c>
    </row>
    <row r="398" spans="1:10" thickTop="1" thickBot="1" x14ac:dyDescent="0.6">
      <c r="A398" s="15">
        <v>397</v>
      </c>
      <c r="B398" s="16">
        <v>1150549</v>
      </c>
      <c r="C398" s="4" t="s">
        <v>601</v>
      </c>
      <c r="D398" s="25" t="s">
        <v>602</v>
      </c>
      <c r="E398" s="25" t="s">
        <v>57</v>
      </c>
      <c r="F398" s="4">
        <v>705253386</v>
      </c>
      <c r="G398" s="4" t="s">
        <v>1624</v>
      </c>
      <c r="H398" s="26">
        <v>1</v>
      </c>
      <c r="I398" s="28">
        <v>45097</v>
      </c>
    </row>
    <row r="399" spans="1:10" thickTop="1" thickBot="1" x14ac:dyDescent="0.6">
      <c r="A399" s="15">
        <v>398</v>
      </c>
      <c r="B399" s="16">
        <v>1150079</v>
      </c>
      <c r="C399" s="4" t="s">
        <v>603</v>
      </c>
      <c r="D399" s="25" t="s">
        <v>465</v>
      </c>
      <c r="E399" s="25" t="s">
        <v>23</v>
      </c>
      <c r="F399" s="4">
        <v>715141366</v>
      </c>
      <c r="G399" s="4">
        <v>223821</v>
      </c>
      <c r="H399" s="26">
        <v>1</v>
      </c>
    </row>
    <row r="400" spans="1:10" thickTop="1" thickBot="1" x14ac:dyDescent="0.6">
      <c r="A400" s="15">
        <v>399</v>
      </c>
      <c r="B400" s="16">
        <v>1150806</v>
      </c>
      <c r="C400" s="4" t="s">
        <v>604</v>
      </c>
      <c r="D400" s="25" t="s">
        <v>605</v>
      </c>
      <c r="E400" s="25" t="s">
        <v>63</v>
      </c>
      <c r="F400" s="4">
        <v>711642575</v>
      </c>
      <c r="G400" s="4">
        <v>144983</v>
      </c>
      <c r="H400" s="26">
        <v>1</v>
      </c>
      <c r="I400" s="28">
        <v>45533</v>
      </c>
      <c r="J400" s="27" t="s">
        <v>606</v>
      </c>
    </row>
    <row r="401" spans="1:10" thickTop="1" thickBot="1" x14ac:dyDescent="0.6">
      <c r="A401" s="15">
        <v>400</v>
      </c>
      <c r="I401" s="28"/>
    </row>
    <row r="402" spans="1:10" thickTop="1" thickBot="1" x14ac:dyDescent="0.6">
      <c r="A402" s="15">
        <v>401</v>
      </c>
    </row>
    <row r="403" spans="1:10" thickTop="1" thickBot="1" x14ac:dyDescent="0.6">
      <c r="A403" s="15">
        <v>402</v>
      </c>
    </row>
    <row r="404" spans="1:10" thickTop="1" thickBot="1" x14ac:dyDescent="0.6">
      <c r="A404" s="15">
        <v>403</v>
      </c>
      <c r="B404" s="16">
        <v>1150618</v>
      </c>
      <c r="C404" s="4" t="s">
        <v>607</v>
      </c>
      <c r="D404" s="25" t="s">
        <v>608</v>
      </c>
      <c r="E404" s="25" t="s">
        <v>23</v>
      </c>
      <c r="F404" s="4">
        <v>725250157</v>
      </c>
      <c r="G404" s="4" t="str">
        <f>"0"&amp;50941</f>
        <v>050941</v>
      </c>
      <c r="H404" s="26">
        <v>1</v>
      </c>
      <c r="I404" s="28">
        <v>45349</v>
      </c>
      <c r="J404" s="27" t="s">
        <v>609</v>
      </c>
    </row>
    <row r="405" spans="1:10" thickTop="1" thickBot="1" x14ac:dyDescent="0.6">
      <c r="A405" s="15">
        <v>404</v>
      </c>
    </row>
    <row r="406" spans="1:10" thickTop="1" thickBot="1" x14ac:dyDescent="0.6">
      <c r="A406" s="15">
        <v>405</v>
      </c>
    </row>
    <row r="407" spans="1:10" thickTop="1" thickBot="1" x14ac:dyDescent="0.6">
      <c r="A407" s="15">
        <v>406</v>
      </c>
      <c r="B407" s="16">
        <v>1151267</v>
      </c>
      <c r="C407" s="4" t="s">
        <v>610</v>
      </c>
      <c r="D407" s="25" t="s">
        <v>611</v>
      </c>
      <c r="E407" s="25" t="s">
        <v>23</v>
      </c>
      <c r="F407" s="4">
        <v>766397480</v>
      </c>
      <c r="G407" s="4">
        <v>287261</v>
      </c>
      <c r="H407" s="26">
        <v>1</v>
      </c>
      <c r="I407" s="28">
        <v>45610</v>
      </c>
    </row>
    <row r="408" spans="1:10" thickTop="1" thickBot="1" x14ac:dyDescent="0.6">
      <c r="A408" s="15">
        <v>407</v>
      </c>
    </row>
    <row r="409" spans="1:10" thickTop="1" thickBot="1" x14ac:dyDescent="0.6">
      <c r="A409" s="15">
        <v>408</v>
      </c>
      <c r="B409" s="16">
        <v>1150031</v>
      </c>
      <c r="C409" s="4" t="s">
        <v>612</v>
      </c>
      <c r="D409" s="25" t="s">
        <v>613</v>
      </c>
      <c r="E409" s="25" t="s">
        <v>63</v>
      </c>
      <c r="F409" s="4">
        <v>712540510</v>
      </c>
      <c r="G409" s="4">
        <v>319280</v>
      </c>
      <c r="H409" s="26">
        <v>1</v>
      </c>
      <c r="J409" s="27" t="s">
        <v>614</v>
      </c>
    </row>
    <row r="410" spans="1:10" thickTop="1" thickBot="1" x14ac:dyDescent="0.6">
      <c r="A410" s="15">
        <v>409</v>
      </c>
    </row>
    <row r="411" spans="1:10" thickTop="1" thickBot="1" x14ac:dyDescent="0.6">
      <c r="A411" s="15">
        <v>410</v>
      </c>
    </row>
    <row r="412" spans="1:10" thickTop="1" thickBot="1" x14ac:dyDescent="0.6">
      <c r="A412" s="15">
        <v>411</v>
      </c>
      <c r="I412" s="28"/>
    </row>
    <row r="413" spans="1:10" thickTop="1" thickBot="1" x14ac:dyDescent="0.6">
      <c r="A413" s="15">
        <v>412</v>
      </c>
      <c r="B413" s="16">
        <v>1150404</v>
      </c>
      <c r="C413" s="4" t="s">
        <v>615</v>
      </c>
      <c r="D413" s="25" t="s">
        <v>127</v>
      </c>
      <c r="E413" s="25" t="s">
        <v>57</v>
      </c>
      <c r="F413" s="4">
        <v>775190430</v>
      </c>
      <c r="G413" s="4">
        <v>105190</v>
      </c>
      <c r="H413" s="26">
        <v>1</v>
      </c>
      <c r="I413" s="28">
        <v>44935</v>
      </c>
      <c r="J413" s="27" t="s">
        <v>616</v>
      </c>
    </row>
    <row r="414" spans="1:10" thickTop="1" thickBot="1" x14ac:dyDescent="0.6">
      <c r="A414" s="15">
        <v>413</v>
      </c>
      <c r="B414" s="16">
        <v>1151273</v>
      </c>
      <c r="C414" s="4" t="s">
        <v>617</v>
      </c>
      <c r="D414" s="25" t="s">
        <v>618</v>
      </c>
      <c r="E414" s="25" t="s">
        <v>23</v>
      </c>
      <c r="F414" s="4">
        <v>776927196</v>
      </c>
      <c r="G414" s="4">
        <v>324965</v>
      </c>
      <c r="H414" s="26">
        <v>1</v>
      </c>
      <c r="I414" s="28">
        <v>45610</v>
      </c>
    </row>
    <row r="415" spans="1:10" thickTop="1" thickBot="1" x14ac:dyDescent="0.6">
      <c r="A415" s="15">
        <v>414</v>
      </c>
      <c r="B415" s="16">
        <v>1150773</v>
      </c>
      <c r="C415" s="4" t="s">
        <v>619</v>
      </c>
      <c r="D415" s="25" t="s">
        <v>174</v>
      </c>
      <c r="E415" s="25" t="s">
        <v>23</v>
      </c>
      <c r="F415" s="4">
        <v>719523110</v>
      </c>
      <c r="G415" s="4">
        <v>121478</v>
      </c>
      <c r="H415" s="26">
        <v>1</v>
      </c>
      <c r="I415" s="28">
        <v>45523</v>
      </c>
      <c r="J415" s="27" t="s">
        <v>620</v>
      </c>
    </row>
    <row r="416" spans="1:10" thickTop="1" thickBot="1" x14ac:dyDescent="0.6">
      <c r="A416" s="15">
        <v>415</v>
      </c>
      <c r="B416" s="16">
        <v>1150712</v>
      </c>
      <c r="C416" s="4" t="s">
        <v>621</v>
      </c>
      <c r="D416" s="25" t="s">
        <v>622</v>
      </c>
      <c r="E416" s="25" t="s">
        <v>78</v>
      </c>
      <c r="F416" s="4" t="s">
        <v>623</v>
      </c>
      <c r="G416" s="4">
        <v>95367</v>
      </c>
      <c r="H416" s="26">
        <v>1</v>
      </c>
      <c r="I416" s="28">
        <v>45476</v>
      </c>
      <c r="J416" s="27" t="s">
        <v>624</v>
      </c>
    </row>
    <row r="417" spans="1:10" thickTop="1" thickBot="1" x14ac:dyDescent="0.6">
      <c r="A417" s="15">
        <v>416</v>
      </c>
      <c r="B417" s="16">
        <v>1151433</v>
      </c>
      <c r="C417" s="4" t="s">
        <v>2849</v>
      </c>
      <c r="D417" s="25" t="s">
        <v>2850</v>
      </c>
      <c r="E417" s="25" t="s">
        <v>78</v>
      </c>
      <c r="F417" s="4" t="s">
        <v>2851</v>
      </c>
      <c r="G417" s="4">
        <v>414105</v>
      </c>
      <c r="H417" s="26">
        <v>1</v>
      </c>
      <c r="I417" s="28">
        <v>45735</v>
      </c>
      <c r="J417" s="27">
        <v>200404813673</v>
      </c>
    </row>
    <row r="418" spans="1:10" thickTop="1" thickBot="1" x14ac:dyDescent="0.6">
      <c r="A418" s="15">
        <v>417</v>
      </c>
      <c r="B418" s="16">
        <v>1150690</v>
      </c>
      <c r="C418" s="4" t="s">
        <v>625</v>
      </c>
      <c r="D418" s="25" t="s">
        <v>626</v>
      </c>
      <c r="E418" s="25" t="s">
        <v>238</v>
      </c>
      <c r="F418" s="4" t="s">
        <v>627</v>
      </c>
      <c r="G418" s="4">
        <v>115751</v>
      </c>
      <c r="H418" s="26">
        <v>1</v>
      </c>
      <c r="I418" s="28">
        <v>45448</v>
      </c>
      <c r="J418" s="27" t="s">
        <v>628</v>
      </c>
    </row>
    <row r="419" spans="1:10" thickTop="1" thickBot="1" x14ac:dyDescent="0.6">
      <c r="A419" s="15">
        <v>418</v>
      </c>
      <c r="B419" s="16">
        <v>1150691</v>
      </c>
      <c r="C419" s="4" t="s">
        <v>629</v>
      </c>
      <c r="D419" s="25" t="s">
        <v>630</v>
      </c>
      <c r="E419" s="25" t="s">
        <v>24</v>
      </c>
      <c r="F419" s="4">
        <v>767515771</v>
      </c>
      <c r="G419" s="4">
        <v>157852</v>
      </c>
      <c r="H419" s="26">
        <v>1</v>
      </c>
      <c r="I419" s="28">
        <v>45450</v>
      </c>
      <c r="J419" s="27">
        <v>197228004074</v>
      </c>
    </row>
    <row r="420" spans="1:10" thickTop="1" thickBot="1" x14ac:dyDescent="0.6">
      <c r="A420" s="15">
        <v>419</v>
      </c>
      <c r="B420" s="16">
        <v>1151018</v>
      </c>
      <c r="C420" s="4" t="s">
        <v>631</v>
      </c>
      <c r="E420" s="25" t="s">
        <v>63</v>
      </c>
      <c r="F420" s="4">
        <v>769094636</v>
      </c>
      <c r="G420" s="4">
        <v>322092</v>
      </c>
      <c r="H420" s="26">
        <v>1</v>
      </c>
      <c r="I420" s="28">
        <v>45593</v>
      </c>
      <c r="J420" s="27">
        <v>195679202316</v>
      </c>
    </row>
    <row r="421" spans="1:10" thickTop="1" thickBot="1" x14ac:dyDescent="0.6">
      <c r="A421" s="15">
        <v>420</v>
      </c>
      <c r="B421" s="16">
        <v>1150692</v>
      </c>
      <c r="C421" s="4" t="s">
        <v>632</v>
      </c>
      <c r="D421" s="25" t="s">
        <v>633</v>
      </c>
      <c r="E421" s="25" t="s">
        <v>23</v>
      </c>
      <c r="F421" s="4">
        <v>716693300</v>
      </c>
      <c r="G421" s="4" t="str">
        <f>"0"&amp;91200</f>
        <v>091200</v>
      </c>
      <c r="H421" s="26">
        <v>1</v>
      </c>
      <c r="I421" s="28">
        <v>45459</v>
      </c>
      <c r="J421" s="27" t="s">
        <v>634</v>
      </c>
    </row>
    <row r="422" spans="1:10" thickTop="1" thickBot="1" x14ac:dyDescent="0.6">
      <c r="A422" s="15">
        <v>421</v>
      </c>
      <c r="B422" s="16">
        <v>1150250</v>
      </c>
      <c r="C422" s="4" t="s">
        <v>635</v>
      </c>
      <c r="E422" s="25" t="s">
        <v>43</v>
      </c>
      <c r="F422" s="4">
        <v>767914450</v>
      </c>
      <c r="G422" s="4">
        <v>699641</v>
      </c>
      <c r="H422" s="26">
        <v>1</v>
      </c>
      <c r="J422" s="27" t="s">
        <v>636</v>
      </c>
    </row>
    <row r="423" spans="1:10" thickTop="1" thickBot="1" x14ac:dyDescent="0.6">
      <c r="A423" s="15">
        <v>422</v>
      </c>
      <c r="B423" s="16">
        <v>1150694</v>
      </c>
      <c r="C423" s="4" t="s">
        <v>637</v>
      </c>
      <c r="D423" s="25" t="s">
        <v>638</v>
      </c>
      <c r="E423" s="25" t="s">
        <v>507</v>
      </c>
      <c r="F423" s="4">
        <v>775737267</v>
      </c>
      <c r="G423" s="4">
        <v>107303</v>
      </c>
      <c r="H423" s="26">
        <v>1</v>
      </c>
      <c r="I423" s="28">
        <v>45460</v>
      </c>
      <c r="J423" s="27" t="s">
        <v>639</v>
      </c>
    </row>
    <row r="424" spans="1:10" thickTop="1" thickBot="1" x14ac:dyDescent="0.6">
      <c r="A424" s="15">
        <v>423</v>
      </c>
      <c r="B424" s="16">
        <v>1150696</v>
      </c>
      <c r="C424" s="4" t="s">
        <v>640</v>
      </c>
      <c r="D424" s="25" t="s">
        <v>641</v>
      </c>
      <c r="E424" s="25" t="s">
        <v>161</v>
      </c>
      <c r="F424" s="4">
        <v>771930069</v>
      </c>
      <c r="G424" s="4" t="str">
        <f>"0"&amp;92323</f>
        <v>092323</v>
      </c>
      <c r="H424" s="26">
        <v>1</v>
      </c>
      <c r="I424" s="28">
        <v>45461</v>
      </c>
      <c r="J424" s="27">
        <v>200227704188</v>
      </c>
    </row>
    <row r="425" spans="1:10" thickTop="1" thickBot="1" x14ac:dyDescent="0.6">
      <c r="A425" s="15">
        <v>424</v>
      </c>
      <c r="B425" s="16">
        <v>1151368</v>
      </c>
      <c r="C425" s="4" t="s">
        <v>2703</v>
      </c>
      <c r="D425" s="25" t="s">
        <v>2704</v>
      </c>
      <c r="E425" s="25" t="s">
        <v>23</v>
      </c>
      <c r="F425" s="4">
        <v>742549129</v>
      </c>
      <c r="G425" s="4">
        <v>573694</v>
      </c>
      <c r="H425" s="26">
        <v>1</v>
      </c>
      <c r="I425" s="28">
        <v>45694</v>
      </c>
      <c r="J425" s="27" t="s">
        <v>642</v>
      </c>
    </row>
    <row r="426" spans="1:10" thickTop="1" thickBot="1" x14ac:dyDescent="0.6">
      <c r="A426" s="15">
        <v>425</v>
      </c>
      <c r="B426" s="16">
        <v>1150435</v>
      </c>
      <c r="C426" s="4" t="s">
        <v>643</v>
      </c>
      <c r="D426" s="25" t="s">
        <v>399</v>
      </c>
      <c r="E426" s="25" t="s">
        <v>43</v>
      </c>
      <c r="F426" s="4">
        <v>771694929</v>
      </c>
      <c r="G426" s="4">
        <v>136781</v>
      </c>
      <c r="H426" s="26">
        <v>1</v>
      </c>
      <c r="I426" s="28">
        <v>44984</v>
      </c>
      <c r="J426" s="27" t="s">
        <v>644</v>
      </c>
    </row>
    <row r="427" spans="1:10" thickTop="1" thickBot="1" x14ac:dyDescent="0.6">
      <c r="A427" s="15">
        <v>426</v>
      </c>
      <c r="B427" s="16">
        <v>1150668</v>
      </c>
      <c r="C427" s="4" t="s">
        <v>645</v>
      </c>
      <c r="D427" s="25" t="s">
        <v>399</v>
      </c>
      <c r="E427" s="25" t="s">
        <v>43</v>
      </c>
      <c r="F427" s="4">
        <v>775474102</v>
      </c>
      <c r="G427" s="4">
        <v>138381</v>
      </c>
      <c r="H427" s="26">
        <v>1</v>
      </c>
      <c r="I427" s="28">
        <v>45403</v>
      </c>
      <c r="J427" s="27">
        <v>200434904185</v>
      </c>
    </row>
    <row r="428" spans="1:10" thickTop="1" thickBot="1" x14ac:dyDescent="0.6">
      <c r="A428" s="15">
        <v>427</v>
      </c>
      <c r="B428" s="16">
        <v>1150481</v>
      </c>
      <c r="C428" s="4" t="s">
        <v>646</v>
      </c>
      <c r="D428" s="25" t="s">
        <v>647</v>
      </c>
      <c r="E428" s="25" t="s">
        <v>50</v>
      </c>
      <c r="F428" s="4">
        <v>777861290</v>
      </c>
      <c r="G428" s="4" t="str">
        <f>"0"&amp;84726</f>
        <v>084726</v>
      </c>
      <c r="H428" s="26">
        <v>1</v>
      </c>
      <c r="I428" s="28">
        <v>45099</v>
      </c>
      <c r="J428" s="27" t="s">
        <v>648</v>
      </c>
    </row>
    <row r="429" spans="1:10" thickTop="1" thickBot="1" x14ac:dyDescent="0.6">
      <c r="A429" s="15">
        <v>428</v>
      </c>
      <c r="B429" s="16">
        <v>1150391</v>
      </c>
      <c r="C429" s="4" t="s">
        <v>649</v>
      </c>
      <c r="D429" s="25" t="s">
        <v>650</v>
      </c>
      <c r="E429" s="25" t="s">
        <v>85</v>
      </c>
      <c r="F429" s="4">
        <v>774109254</v>
      </c>
      <c r="G429" s="4">
        <v>677456</v>
      </c>
      <c r="H429" s="26">
        <v>1</v>
      </c>
      <c r="I429" s="28">
        <v>44916</v>
      </c>
      <c r="J429" s="27" t="s">
        <v>651</v>
      </c>
    </row>
    <row r="430" spans="1:10" thickTop="1" thickBot="1" x14ac:dyDescent="0.6">
      <c r="A430" s="15">
        <v>429</v>
      </c>
    </row>
    <row r="431" spans="1:10" thickTop="1" thickBot="1" x14ac:dyDescent="0.6">
      <c r="A431" s="15">
        <v>430</v>
      </c>
      <c r="B431" s="16">
        <v>1150621</v>
      </c>
      <c r="C431" s="4" t="s">
        <v>653</v>
      </c>
      <c r="E431" s="25" t="s">
        <v>57</v>
      </c>
      <c r="F431" s="4">
        <v>768141571</v>
      </c>
      <c r="G431" s="4">
        <v>112774</v>
      </c>
      <c r="H431" s="26">
        <v>1</v>
      </c>
      <c r="I431" s="28">
        <v>45318</v>
      </c>
      <c r="J431" s="27" t="s">
        <v>654</v>
      </c>
    </row>
    <row r="432" spans="1:10" thickTop="1" thickBot="1" x14ac:dyDescent="0.6">
      <c r="A432" s="15">
        <v>431</v>
      </c>
    </row>
    <row r="433" spans="1:10" thickTop="1" thickBot="1" x14ac:dyDescent="0.6">
      <c r="A433" s="15">
        <v>432</v>
      </c>
      <c r="B433" s="16">
        <v>1151055</v>
      </c>
      <c r="C433" s="4" t="s">
        <v>655</v>
      </c>
      <c r="D433" s="25" t="s">
        <v>656</v>
      </c>
      <c r="E433" s="25" t="s">
        <v>23</v>
      </c>
      <c r="F433" s="4">
        <v>752260900</v>
      </c>
      <c r="G433" s="4">
        <v>314461</v>
      </c>
      <c r="H433" s="26">
        <v>1</v>
      </c>
      <c r="I433" s="28">
        <v>45601</v>
      </c>
      <c r="J433" s="27">
        <v>197505401976</v>
      </c>
    </row>
    <row r="434" spans="1:10" thickTop="1" thickBot="1" x14ac:dyDescent="0.6">
      <c r="A434" s="15">
        <v>433</v>
      </c>
      <c r="B434" s="16">
        <v>1150742</v>
      </c>
      <c r="C434" s="4" t="s">
        <v>657</v>
      </c>
      <c r="D434" s="25" t="s">
        <v>622</v>
      </c>
      <c r="E434" s="25" t="s">
        <v>23</v>
      </c>
      <c r="F434" s="4" t="s">
        <v>658</v>
      </c>
      <c r="G434" s="4">
        <v>216294</v>
      </c>
      <c r="H434" s="26">
        <v>1</v>
      </c>
      <c r="I434" s="28">
        <v>45492</v>
      </c>
      <c r="J434" s="27">
        <v>195612410100</v>
      </c>
    </row>
    <row r="435" spans="1:10" thickTop="1" thickBot="1" x14ac:dyDescent="0.6">
      <c r="A435" s="15">
        <v>434</v>
      </c>
      <c r="B435" s="16">
        <v>1150657</v>
      </c>
      <c r="C435" s="4" t="s">
        <v>659</v>
      </c>
      <c r="D435" s="25" t="s">
        <v>652</v>
      </c>
      <c r="E435" s="25" t="s">
        <v>23</v>
      </c>
      <c r="F435" s="4" t="s">
        <v>660</v>
      </c>
      <c r="G435" s="4">
        <v>147168</v>
      </c>
      <c r="H435" s="26">
        <v>1</v>
      </c>
      <c r="I435" s="28">
        <v>45386</v>
      </c>
      <c r="J435" s="27" t="s">
        <v>661</v>
      </c>
    </row>
    <row r="436" spans="1:10" thickTop="1" thickBot="1" x14ac:dyDescent="0.6">
      <c r="A436" s="15">
        <v>435</v>
      </c>
      <c r="B436" s="16">
        <v>1150663</v>
      </c>
      <c r="C436" s="4" t="s">
        <v>662</v>
      </c>
      <c r="E436" s="25" t="s">
        <v>57</v>
      </c>
      <c r="F436" s="4">
        <v>770335200</v>
      </c>
      <c r="G436" s="4" t="str">
        <f>"0"&amp;90699</f>
        <v>090699</v>
      </c>
      <c r="H436" s="26">
        <v>1</v>
      </c>
      <c r="I436" s="28">
        <v>45391</v>
      </c>
      <c r="J436" s="27" t="s">
        <v>663</v>
      </c>
    </row>
    <row r="437" spans="1:10" thickTop="1" thickBot="1" x14ac:dyDescent="0.6">
      <c r="A437" s="15">
        <v>436</v>
      </c>
      <c r="B437" s="16">
        <v>1150697</v>
      </c>
      <c r="C437" s="4" t="s">
        <v>664</v>
      </c>
      <c r="D437" s="25" t="s">
        <v>665</v>
      </c>
      <c r="E437" s="25" t="s">
        <v>50</v>
      </c>
      <c r="F437" s="4">
        <v>711044509</v>
      </c>
      <c r="G437" s="4" t="str">
        <f>"0"&amp;87224</f>
        <v>087224</v>
      </c>
      <c r="H437" s="26">
        <v>1</v>
      </c>
      <c r="I437" s="28">
        <v>45463</v>
      </c>
      <c r="J437" s="27" t="s">
        <v>666</v>
      </c>
    </row>
    <row r="438" spans="1:10" thickTop="1" thickBot="1" x14ac:dyDescent="0.6">
      <c r="A438" s="15">
        <v>437</v>
      </c>
    </row>
    <row r="439" spans="1:10" thickTop="1" thickBot="1" x14ac:dyDescent="0.6">
      <c r="A439" s="15">
        <v>438</v>
      </c>
    </row>
    <row r="440" spans="1:10" thickTop="1" thickBot="1" x14ac:dyDescent="0.6">
      <c r="A440" s="15">
        <v>439</v>
      </c>
      <c r="B440" s="16">
        <v>1150698</v>
      </c>
      <c r="C440" s="4" t="s">
        <v>667</v>
      </c>
      <c r="D440" s="25" t="s">
        <v>668</v>
      </c>
      <c r="E440" s="25" t="s">
        <v>50</v>
      </c>
      <c r="F440" s="4">
        <v>775524229</v>
      </c>
      <c r="G440" s="4">
        <v>104722</v>
      </c>
      <c r="H440" s="26">
        <v>1</v>
      </c>
      <c r="I440" s="28">
        <v>45464</v>
      </c>
      <c r="J440" s="27" t="s">
        <v>669</v>
      </c>
    </row>
    <row r="441" spans="1:10" thickTop="1" thickBot="1" x14ac:dyDescent="0.6">
      <c r="A441" s="15">
        <v>440</v>
      </c>
      <c r="B441" s="16">
        <v>1151097</v>
      </c>
      <c r="C441" s="4" t="s">
        <v>670</v>
      </c>
      <c r="E441" s="25" t="s">
        <v>43</v>
      </c>
      <c r="F441" s="4">
        <v>711898384</v>
      </c>
      <c r="G441" s="4">
        <v>218803</v>
      </c>
      <c r="H441" s="26">
        <v>1</v>
      </c>
      <c r="I441" s="28">
        <v>45603</v>
      </c>
    </row>
    <row r="442" spans="1:10" thickTop="1" thickBot="1" x14ac:dyDescent="0.6">
      <c r="A442" s="15">
        <v>441</v>
      </c>
    </row>
    <row r="443" spans="1:10" thickTop="1" thickBot="1" x14ac:dyDescent="0.6">
      <c r="A443" s="15">
        <v>442</v>
      </c>
      <c r="B443" s="16">
        <v>1150722</v>
      </c>
      <c r="C443" s="4" t="s">
        <v>671</v>
      </c>
      <c r="D443" s="25" t="s">
        <v>435</v>
      </c>
      <c r="E443" s="25" t="s">
        <v>43</v>
      </c>
      <c r="F443" s="4">
        <v>778942008</v>
      </c>
      <c r="G443" s="4">
        <v>102494</v>
      </c>
      <c r="H443" s="26">
        <v>1</v>
      </c>
      <c r="I443" s="28">
        <v>45485</v>
      </c>
      <c r="J443" s="27">
        <v>198217510043</v>
      </c>
    </row>
    <row r="444" spans="1:10" thickTop="1" thickBot="1" x14ac:dyDescent="0.6">
      <c r="A444" s="15">
        <v>443</v>
      </c>
      <c r="B444" s="16">
        <v>1151431</v>
      </c>
      <c r="C444" s="4" t="s">
        <v>2844</v>
      </c>
      <c r="D444" s="25" t="s">
        <v>497</v>
      </c>
      <c r="E444" s="25" t="s">
        <v>57</v>
      </c>
      <c r="F444" s="4">
        <v>762564660</v>
      </c>
      <c r="G444" s="4">
        <v>609787</v>
      </c>
      <c r="H444" s="26">
        <v>1</v>
      </c>
      <c r="I444" s="28">
        <v>45734</v>
      </c>
      <c r="J444" s="27" t="s">
        <v>2845</v>
      </c>
    </row>
    <row r="445" spans="1:10" thickTop="1" thickBot="1" x14ac:dyDescent="0.6">
      <c r="A445" s="15">
        <v>444</v>
      </c>
      <c r="B445" s="16">
        <v>1151089</v>
      </c>
      <c r="C445" s="4" t="s">
        <v>672</v>
      </c>
      <c r="D445" s="25" t="s">
        <v>673</v>
      </c>
      <c r="E445" s="25" t="s">
        <v>23</v>
      </c>
      <c r="F445" s="4">
        <v>776939646</v>
      </c>
      <c r="G445" s="4">
        <v>297963</v>
      </c>
      <c r="H445" s="26">
        <v>1</v>
      </c>
      <c r="I445" s="28">
        <v>45602</v>
      </c>
      <c r="J445" s="27" t="s">
        <v>674</v>
      </c>
    </row>
    <row r="446" spans="1:10" thickTop="1" thickBot="1" x14ac:dyDescent="0.6">
      <c r="A446" s="15">
        <v>445</v>
      </c>
      <c r="B446" s="16">
        <v>1150761</v>
      </c>
      <c r="C446" s="4" t="s">
        <v>675</v>
      </c>
      <c r="D446" s="25" t="s">
        <v>676</v>
      </c>
      <c r="E446" s="25" t="s">
        <v>6</v>
      </c>
      <c r="F446" s="31" t="s">
        <v>677</v>
      </c>
      <c r="G446" s="4">
        <v>132491</v>
      </c>
      <c r="H446" s="26">
        <v>1</v>
      </c>
      <c r="I446" s="28">
        <v>45502</v>
      </c>
      <c r="J446" s="27">
        <v>196431103082</v>
      </c>
    </row>
    <row r="447" spans="1:10" thickTop="1" thickBot="1" x14ac:dyDescent="0.6">
      <c r="A447" s="15">
        <v>446</v>
      </c>
    </row>
    <row r="448" spans="1:10" thickTop="1" thickBot="1" x14ac:dyDescent="0.6">
      <c r="A448" s="15">
        <v>447</v>
      </c>
      <c r="B448" s="16">
        <v>1150717</v>
      </c>
      <c r="C448" s="4" t="s">
        <v>678</v>
      </c>
      <c r="D448" s="25" t="s">
        <v>679</v>
      </c>
      <c r="E448" s="25" t="s">
        <v>78</v>
      </c>
      <c r="F448" s="4">
        <v>714400365</v>
      </c>
      <c r="G448" s="4" t="str">
        <f>"0"&amp;87638</f>
        <v>087638</v>
      </c>
      <c r="H448" s="26">
        <v>1</v>
      </c>
      <c r="I448" s="28">
        <v>45480</v>
      </c>
      <c r="J448" s="27" t="s">
        <v>680</v>
      </c>
    </row>
    <row r="449" spans="1:10" thickTop="1" thickBot="1" x14ac:dyDescent="0.6">
      <c r="A449" s="15">
        <v>448</v>
      </c>
      <c r="B449" s="16">
        <v>1151093</v>
      </c>
      <c r="C449" s="4" t="s">
        <v>681</v>
      </c>
      <c r="D449" s="25" t="s">
        <v>3435</v>
      </c>
      <c r="E449" s="25" t="s">
        <v>3045</v>
      </c>
      <c r="F449" s="4" t="s">
        <v>682</v>
      </c>
      <c r="G449" s="4">
        <v>222433</v>
      </c>
      <c r="H449" s="26">
        <v>1</v>
      </c>
      <c r="I449" s="28">
        <v>45603</v>
      </c>
    </row>
    <row r="450" spans="1:10" thickTop="1" thickBot="1" x14ac:dyDescent="0.6">
      <c r="A450" s="15">
        <v>449</v>
      </c>
      <c r="B450" s="16">
        <v>1151099</v>
      </c>
      <c r="C450" s="4" t="s">
        <v>683</v>
      </c>
      <c r="D450" s="25" t="s">
        <v>656</v>
      </c>
      <c r="E450" s="25" t="s">
        <v>125</v>
      </c>
      <c r="F450" s="4" t="s">
        <v>684</v>
      </c>
      <c r="G450" s="4">
        <v>255953</v>
      </c>
      <c r="H450" s="26">
        <v>1</v>
      </c>
      <c r="I450" s="28">
        <v>45603</v>
      </c>
      <c r="J450" s="27" t="s">
        <v>685</v>
      </c>
    </row>
    <row r="451" spans="1:10" thickTop="1" thickBot="1" x14ac:dyDescent="0.6">
      <c r="A451" s="15">
        <v>450</v>
      </c>
    </row>
    <row r="452" spans="1:10" thickTop="1" thickBot="1" x14ac:dyDescent="0.6">
      <c r="A452" s="15">
        <v>451</v>
      </c>
    </row>
    <row r="453" spans="1:10" thickTop="1" thickBot="1" x14ac:dyDescent="0.6">
      <c r="A453" s="15">
        <v>452</v>
      </c>
    </row>
    <row r="454" spans="1:10" thickTop="1" thickBot="1" x14ac:dyDescent="0.6">
      <c r="A454" s="15">
        <v>453</v>
      </c>
    </row>
    <row r="455" spans="1:10" thickTop="1" thickBot="1" x14ac:dyDescent="0.6">
      <c r="A455" s="15">
        <v>454</v>
      </c>
    </row>
    <row r="456" spans="1:10" thickTop="1" thickBot="1" x14ac:dyDescent="0.6">
      <c r="A456" s="15">
        <v>455</v>
      </c>
      <c r="B456" s="16">
        <v>1151075</v>
      </c>
      <c r="C456" s="4" t="s">
        <v>687</v>
      </c>
      <c r="D456" s="25" t="s">
        <v>688</v>
      </c>
      <c r="E456" s="25" t="s">
        <v>161</v>
      </c>
      <c r="F456" s="4" t="s">
        <v>689</v>
      </c>
      <c r="G456" s="4" t="s">
        <v>690</v>
      </c>
      <c r="H456" s="26">
        <v>2</v>
      </c>
      <c r="I456" s="28">
        <v>45601</v>
      </c>
      <c r="J456" s="27" t="s">
        <v>691</v>
      </c>
    </row>
    <row r="457" spans="1:10" thickTop="1" thickBot="1" x14ac:dyDescent="0.6">
      <c r="A457" s="15">
        <v>456</v>
      </c>
      <c r="B457" s="16">
        <v>1150784</v>
      </c>
      <c r="C457" s="4" t="s">
        <v>692</v>
      </c>
      <c r="D457" s="25" t="s">
        <v>688</v>
      </c>
      <c r="E457" s="25" t="s">
        <v>161</v>
      </c>
      <c r="F457" s="4">
        <v>711605497</v>
      </c>
      <c r="G457" s="4" t="str">
        <f>"0"&amp;88289</f>
        <v>088289</v>
      </c>
      <c r="H457" s="26">
        <v>1</v>
      </c>
      <c r="I457" s="28">
        <v>45527</v>
      </c>
      <c r="J457" s="27" t="s">
        <v>693</v>
      </c>
    </row>
    <row r="458" spans="1:10" thickTop="1" thickBot="1" x14ac:dyDescent="0.6">
      <c r="A458" s="15">
        <v>457</v>
      </c>
      <c r="B458" s="16">
        <v>1150683</v>
      </c>
      <c r="C458" s="4" t="s">
        <v>694</v>
      </c>
      <c r="D458" s="25" t="s">
        <v>688</v>
      </c>
      <c r="E458" s="25" t="s">
        <v>161</v>
      </c>
      <c r="F458" s="4" t="s">
        <v>695</v>
      </c>
      <c r="G458" s="4" t="str">
        <f>"0"&amp;87240</f>
        <v>087240</v>
      </c>
      <c r="H458" s="26">
        <v>1</v>
      </c>
      <c r="I458" s="28">
        <v>45433</v>
      </c>
      <c r="J458" s="27">
        <v>198336303481</v>
      </c>
    </row>
    <row r="459" spans="1:10" thickTop="1" thickBot="1" x14ac:dyDescent="0.6">
      <c r="A459" s="15">
        <v>458</v>
      </c>
      <c r="B459" s="16">
        <v>1150878</v>
      </c>
      <c r="C459" s="4" t="s">
        <v>696</v>
      </c>
      <c r="D459" s="25" t="s">
        <v>697</v>
      </c>
      <c r="E459" s="25" t="s">
        <v>6</v>
      </c>
      <c r="F459" s="4">
        <v>774978991</v>
      </c>
      <c r="G459" s="4">
        <v>248941</v>
      </c>
      <c r="H459" s="26">
        <v>1</v>
      </c>
      <c r="I459" s="28">
        <v>45572</v>
      </c>
      <c r="J459" s="27" t="s">
        <v>698</v>
      </c>
    </row>
    <row r="460" spans="1:10" thickTop="1" thickBot="1" x14ac:dyDescent="0.6">
      <c r="A460" s="15">
        <v>459</v>
      </c>
      <c r="B460" s="16">
        <v>1151539</v>
      </c>
      <c r="C460" s="4" t="s">
        <v>3277</v>
      </c>
      <c r="D460" s="25" t="s">
        <v>569</v>
      </c>
      <c r="E460" s="25" t="s">
        <v>12</v>
      </c>
      <c r="F460" s="4" t="s">
        <v>699</v>
      </c>
      <c r="G460" s="4">
        <v>98769</v>
      </c>
      <c r="H460" s="26">
        <v>1</v>
      </c>
    </row>
    <row r="461" spans="1:10" thickTop="1" thickBot="1" x14ac:dyDescent="0.6">
      <c r="A461" s="15">
        <v>460</v>
      </c>
    </row>
    <row r="462" spans="1:10" thickTop="1" thickBot="1" x14ac:dyDescent="0.6">
      <c r="A462" s="15">
        <v>461</v>
      </c>
      <c r="B462" s="16">
        <v>1150749</v>
      </c>
      <c r="C462" s="4" t="s">
        <v>701</v>
      </c>
      <c r="D462" s="25" t="s">
        <v>702</v>
      </c>
      <c r="E462" s="25" t="s">
        <v>52</v>
      </c>
      <c r="F462" s="4">
        <v>771724720</v>
      </c>
      <c r="G462" s="4" t="str">
        <f>"0"&amp;90459</f>
        <v>090459</v>
      </c>
      <c r="H462" s="26">
        <v>1</v>
      </c>
      <c r="I462" s="28">
        <v>45496</v>
      </c>
      <c r="J462" s="27" t="s">
        <v>703</v>
      </c>
    </row>
    <row r="463" spans="1:10" thickTop="1" thickBot="1" x14ac:dyDescent="0.6">
      <c r="A463" s="15">
        <v>462</v>
      </c>
    </row>
    <row r="464" spans="1:10" thickTop="1" thickBot="1" x14ac:dyDescent="0.6">
      <c r="A464" s="15">
        <v>463</v>
      </c>
      <c r="B464" s="16">
        <v>1150985</v>
      </c>
      <c r="C464" s="4" t="s">
        <v>704</v>
      </c>
      <c r="D464" s="25" t="s">
        <v>705</v>
      </c>
      <c r="E464" s="25" t="s">
        <v>78</v>
      </c>
      <c r="F464" s="4">
        <v>777038097</v>
      </c>
      <c r="G464" s="4">
        <v>329147</v>
      </c>
      <c r="H464" s="26">
        <v>1</v>
      </c>
      <c r="I464" s="28">
        <v>45590</v>
      </c>
      <c r="J464" s="27">
        <v>197212901022</v>
      </c>
    </row>
    <row r="465" spans="1:10" thickTop="1" thickBot="1" x14ac:dyDescent="0.6">
      <c r="A465" s="15">
        <v>464</v>
      </c>
      <c r="B465" s="16">
        <v>1151389</v>
      </c>
      <c r="C465" s="4" t="s">
        <v>2740</v>
      </c>
      <c r="D465" s="25" t="s">
        <v>97</v>
      </c>
      <c r="E465" s="25" t="s">
        <v>125</v>
      </c>
      <c r="F465" s="4">
        <v>777632649</v>
      </c>
      <c r="G465" s="4">
        <v>672363</v>
      </c>
      <c r="H465" s="26">
        <v>1</v>
      </c>
      <c r="I465" s="28">
        <v>45706</v>
      </c>
      <c r="J465" s="27">
        <v>198708703832</v>
      </c>
    </row>
    <row r="466" spans="1:10" thickTop="1" thickBot="1" x14ac:dyDescent="0.6">
      <c r="A466" s="15">
        <v>465</v>
      </c>
    </row>
    <row r="467" spans="1:10" thickTop="1" thickBot="1" x14ac:dyDescent="0.6">
      <c r="A467" s="15">
        <v>466</v>
      </c>
    </row>
    <row r="468" spans="1:10" thickTop="1" thickBot="1" x14ac:dyDescent="0.6">
      <c r="A468" s="15">
        <v>467</v>
      </c>
    </row>
    <row r="469" spans="1:10" thickTop="1" thickBot="1" x14ac:dyDescent="0.6">
      <c r="A469" s="15">
        <v>468</v>
      </c>
      <c r="B469" s="16">
        <v>1151019</v>
      </c>
      <c r="C469" s="4" t="s">
        <v>707</v>
      </c>
      <c r="D469" s="25" t="s">
        <v>708</v>
      </c>
      <c r="E469" s="25" t="s">
        <v>249</v>
      </c>
      <c r="F469" s="4" t="s">
        <v>709</v>
      </c>
      <c r="G469" s="4" t="s">
        <v>2684</v>
      </c>
      <c r="H469" s="26">
        <v>2</v>
      </c>
      <c r="I469" s="28">
        <v>45593</v>
      </c>
      <c r="J469" s="27" t="s">
        <v>710</v>
      </c>
    </row>
    <row r="470" spans="1:10" thickTop="1" thickBot="1" x14ac:dyDescent="0.6">
      <c r="A470" s="15">
        <v>469</v>
      </c>
      <c r="B470" s="16">
        <v>1151063</v>
      </c>
      <c r="C470" s="4" t="s">
        <v>711</v>
      </c>
      <c r="D470" s="25" t="s">
        <v>712</v>
      </c>
      <c r="E470" s="25" t="s">
        <v>249</v>
      </c>
      <c r="F470" s="4">
        <v>776284194</v>
      </c>
      <c r="G470" s="4">
        <v>344591</v>
      </c>
      <c r="H470" s="26">
        <v>1</v>
      </c>
      <c r="I470" s="28">
        <v>45601</v>
      </c>
    </row>
    <row r="471" spans="1:10" thickTop="1" thickBot="1" x14ac:dyDescent="0.6">
      <c r="A471" s="15">
        <v>470</v>
      </c>
    </row>
    <row r="472" spans="1:10" thickTop="1" thickBot="1" x14ac:dyDescent="0.6">
      <c r="A472" s="15">
        <v>471</v>
      </c>
      <c r="B472" s="16">
        <v>1150098</v>
      </c>
      <c r="C472" s="4" t="s">
        <v>713</v>
      </c>
      <c r="E472" s="25" t="s">
        <v>23</v>
      </c>
      <c r="F472" s="4">
        <v>774126812</v>
      </c>
      <c r="G472" s="4">
        <v>685541</v>
      </c>
      <c r="H472" s="26">
        <v>1</v>
      </c>
      <c r="J472" s="27" t="s">
        <v>714</v>
      </c>
    </row>
    <row r="473" spans="1:10" thickTop="1" thickBot="1" x14ac:dyDescent="0.6">
      <c r="A473" s="15">
        <v>472</v>
      </c>
      <c r="B473" s="16">
        <v>1151098</v>
      </c>
      <c r="C473" s="4" t="s">
        <v>715</v>
      </c>
      <c r="D473" s="25" t="s">
        <v>716</v>
      </c>
      <c r="E473" s="25" t="s">
        <v>249</v>
      </c>
      <c r="F473" s="4">
        <v>756950034</v>
      </c>
      <c r="G473" s="4">
        <v>174261</v>
      </c>
      <c r="H473" s="26">
        <v>1</v>
      </c>
      <c r="I473" s="28">
        <v>45603</v>
      </c>
      <c r="J473" s="27" t="s">
        <v>717</v>
      </c>
    </row>
    <row r="474" spans="1:10" thickTop="1" thickBot="1" x14ac:dyDescent="0.6">
      <c r="A474" s="15">
        <v>473</v>
      </c>
      <c r="G474" s="4" t="s">
        <v>718</v>
      </c>
    </row>
    <row r="475" spans="1:10" thickTop="1" thickBot="1" x14ac:dyDescent="0.6">
      <c r="A475" s="15">
        <v>474</v>
      </c>
      <c r="B475" s="16">
        <v>1151417</v>
      </c>
      <c r="C475" s="4" t="s">
        <v>2796</v>
      </c>
      <c r="D475" s="25" t="s">
        <v>2797</v>
      </c>
      <c r="E475" s="25" t="s">
        <v>249</v>
      </c>
      <c r="F475" s="4">
        <v>716636836</v>
      </c>
      <c r="G475" s="4">
        <v>625494</v>
      </c>
      <c r="H475" s="26">
        <v>1</v>
      </c>
      <c r="I475" s="28">
        <v>45721</v>
      </c>
      <c r="J475" s="27" t="s">
        <v>2798</v>
      </c>
    </row>
    <row r="476" spans="1:10" thickTop="1" thickBot="1" x14ac:dyDescent="0.6">
      <c r="A476" s="15">
        <v>475</v>
      </c>
      <c r="B476" s="16">
        <v>1150497</v>
      </c>
      <c r="C476" s="4" t="s">
        <v>719</v>
      </c>
      <c r="D476" s="25" t="s">
        <v>720</v>
      </c>
      <c r="E476" s="25" t="s">
        <v>249</v>
      </c>
      <c r="F476" s="4" t="s">
        <v>721</v>
      </c>
      <c r="G476" s="4" t="str">
        <f>"0"&amp;68687</f>
        <v>068687</v>
      </c>
      <c r="H476" s="26">
        <v>1</v>
      </c>
    </row>
    <row r="477" spans="1:10" thickTop="1" thickBot="1" x14ac:dyDescent="0.6">
      <c r="A477" s="15">
        <v>476</v>
      </c>
      <c r="B477" s="16">
        <v>1150601</v>
      </c>
      <c r="C477" s="4" t="s">
        <v>722</v>
      </c>
      <c r="D477" s="25" t="s">
        <v>723</v>
      </c>
      <c r="E477" s="25" t="s">
        <v>249</v>
      </c>
      <c r="F477" s="4" t="s">
        <v>724</v>
      </c>
      <c r="G477" s="4">
        <v>148166</v>
      </c>
      <c r="H477" s="26">
        <v>1</v>
      </c>
      <c r="I477" s="28">
        <v>45300</v>
      </c>
      <c r="J477" s="27" t="s">
        <v>725</v>
      </c>
    </row>
    <row r="478" spans="1:10" thickTop="1" thickBot="1" x14ac:dyDescent="0.6">
      <c r="A478" s="15">
        <v>477</v>
      </c>
    </row>
    <row r="479" spans="1:10" thickTop="1" thickBot="1" x14ac:dyDescent="0.6">
      <c r="A479" s="15">
        <v>478</v>
      </c>
      <c r="I479" s="28"/>
    </row>
    <row r="480" spans="1:10" thickTop="1" thickBot="1" x14ac:dyDescent="0.6">
      <c r="A480" s="15">
        <v>479</v>
      </c>
      <c r="B480" s="16">
        <v>1150989</v>
      </c>
      <c r="C480" s="4" t="s">
        <v>726</v>
      </c>
      <c r="D480" s="25" t="s">
        <v>727</v>
      </c>
      <c r="E480" s="25" t="s">
        <v>249</v>
      </c>
      <c r="F480" s="4">
        <v>711894505</v>
      </c>
      <c r="G480" s="4">
        <v>253404</v>
      </c>
      <c r="H480" s="26">
        <v>1</v>
      </c>
      <c r="I480" s="28">
        <v>45592</v>
      </c>
      <c r="J480" s="27" t="s">
        <v>728</v>
      </c>
    </row>
    <row r="481" spans="1:10" thickTop="1" thickBot="1" x14ac:dyDescent="0.6">
      <c r="A481" s="15">
        <v>480</v>
      </c>
    </row>
    <row r="482" spans="1:10" thickTop="1" thickBot="1" x14ac:dyDescent="0.6">
      <c r="A482" s="15">
        <v>481</v>
      </c>
      <c r="B482" s="16">
        <v>1150062</v>
      </c>
      <c r="C482" s="4" t="s">
        <v>729</v>
      </c>
      <c r="D482" s="25" t="s">
        <v>730</v>
      </c>
      <c r="E482" s="25" t="s">
        <v>6</v>
      </c>
      <c r="F482" s="4">
        <v>767396828</v>
      </c>
      <c r="G482" s="4">
        <v>294426</v>
      </c>
      <c r="H482" s="26">
        <v>1</v>
      </c>
    </row>
    <row r="483" spans="1:10" thickTop="1" thickBot="1" x14ac:dyDescent="0.6">
      <c r="A483" s="15">
        <v>482</v>
      </c>
    </row>
    <row r="484" spans="1:10" thickTop="1" thickBot="1" x14ac:dyDescent="0.6">
      <c r="A484" s="15">
        <v>483</v>
      </c>
      <c r="B484" s="16">
        <v>1151302</v>
      </c>
      <c r="C484" s="4" t="s">
        <v>1620</v>
      </c>
      <c r="D484" s="25" t="s">
        <v>250</v>
      </c>
      <c r="E484" s="25" t="s">
        <v>57</v>
      </c>
      <c r="F484" s="4" t="s">
        <v>1621</v>
      </c>
      <c r="G484" s="4">
        <v>298755</v>
      </c>
      <c r="H484" s="26">
        <v>1</v>
      </c>
      <c r="I484" s="28">
        <v>45292</v>
      </c>
      <c r="J484" s="27" t="s">
        <v>1622</v>
      </c>
    </row>
    <row r="485" spans="1:10" thickTop="1" thickBot="1" x14ac:dyDescent="0.6">
      <c r="A485" s="15">
        <v>484</v>
      </c>
      <c r="B485" s="16">
        <v>1150027</v>
      </c>
      <c r="C485" s="4" t="s">
        <v>731</v>
      </c>
      <c r="E485" s="25" t="s">
        <v>573</v>
      </c>
      <c r="F485" s="4">
        <v>755347582</v>
      </c>
      <c r="G485" s="4">
        <v>508700</v>
      </c>
      <c r="H485" s="26">
        <v>1</v>
      </c>
      <c r="I485" s="28">
        <v>45482</v>
      </c>
      <c r="J485" s="27" t="s">
        <v>732</v>
      </c>
    </row>
    <row r="486" spans="1:10" thickTop="1" thickBot="1" x14ac:dyDescent="0.6">
      <c r="A486" s="15">
        <v>485</v>
      </c>
      <c r="B486" s="16">
        <v>1150293</v>
      </c>
      <c r="C486" s="4" t="s">
        <v>733</v>
      </c>
      <c r="E486" s="25" t="s">
        <v>23</v>
      </c>
      <c r="G486" s="4">
        <v>297858</v>
      </c>
      <c r="H486" s="26">
        <v>1</v>
      </c>
      <c r="I486" s="28">
        <v>45482</v>
      </c>
    </row>
    <row r="487" spans="1:10" thickTop="1" thickBot="1" x14ac:dyDescent="0.6">
      <c r="A487" s="15">
        <v>486</v>
      </c>
      <c r="B487" s="16">
        <v>1151094</v>
      </c>
      <c r="C487" s="4" t="s">
        <v>734</v>
      </c>
      <c r="D487" s="25" t="s">
        <v>735</v>
      </c>
      <c r="E487" s="25" t="s">
        <v>23</v>
      </c>
      <c r="F487" s="4" t="s">
        <v>736</v>
      </c>
      <c r="G487" s="4">
        <v>287899</v>
      </c>
      <c r="H487" s="26">
        <v>1</v>
      </c>
      <c r="I487" s="28">
        <v>45603</v>
      </c>
      <c r="J487" s="27" t="s">
        <v>737</v>
      </c>
    </row>
    <row r="488" spans="1:10" thickTop="1" thickBot="1" x14ac:dyDescent="0.6">
      <c r="A488" s="15">
        <v>487</v>
      </c>
      <c r="B488" s="16">
        <v>1151484</v>
      </c>
      <c r="C488" s="4" t="s">
        <v>2985</v>
      </c>
      <c r="D488" s="25" t="s">
        <v>738</v>
      </c>
      <c r="E488" s="25" t="s">
        <v>23</v>
      </c>
      <c r="F488" s="4">
        <v>769299953</v>
      </c>
      <c r="G488" s="4">
        <v>541873</v>
      </c>
      <c r="H488" s="26">
        <v>1</v>
      </c>
      <c r="I488" s="28">
        <v>45765</v>
      </c>
      <c r="J488" s="27" t="s">
        <v>2986</v>
      </c>
    </row>
    <row r="489" spans="1:10" thickTop="1" thickBot="1" x14ac:dyDescent="0.6">
      <c r="A489" s="15">
        <v>488</v>
      </c>
      <c r="B489" s="16">
        <v>1150598</v>
      </c>
      <c r="C489" s="4" t="s">
        <v>739</v>
      </c>
      <c r="D489" s="25" t="s">
        <v>740</v>
      </c>
      <c r="E489" s="25" t="s">
        <v>23</v>
      </c>
      <c r="F489" s="4" t="s">
        <v>741</v>
      </c>
      <c r="G489" s="4">
        <v>116247</v>
      </c>
      <c r="H489" s="26">
        <v>1</v>
      </c>
      <c r="I489" s="28">
        <v>45299</v>
      </c>
      <c r="J489" s="27" t="s">
        <v>742</v>
      </c>
    </row>
    <row r="490" spans="1:10" thickTop="1" thickBot="1" x14ac:dyDescent="0.6">
      <c r="A490" s="15">
        <v>489</v>
      </c>
      <c r="B490" s="16">
        <v>1150719</v>
      </c>
      <c r="C490" s="4" t="s">
        <v>743</v>
      </c>
      <c r="D490" s="25" t="s">
        <v>744</v>
      </c>
      <c r="E490" s="25" t="s">
        <v>43</v>
      </c>
      <c r="F490" s="4">
        <v>779848928</v>
      </c>
      <c r="G490" s="4" t="str">
        <f>"0"&amp;96530</f>
        <v>096530</v>
      </c>
      <c r="H490" s="26">
        <v>1</v>
      </c>
      <c r="I490" s="28">
        <v>45481</v>
      </c>
      <c r="J490" s="13" t="s">
        <v>745</v>
      </c>
    </row>
    <row r="491" spans="1:10" thickTop="1" thickBot="1" x14ac:dyDescent="0.6">
      <c r="A491" s="15">
        <v>490</v>
      </c>
      <c r="B491" s="16">
        <v>1150566</v>
      </c>
      <c r="C491" s="4" t="s">
        <v>746</v>
      </c>
      <c r="D491" s="25" t="s">
        <v>686</v>
      </c>
      <c r="E491" s="25" t="s">
        <v>23</v>
      </c>
      <c r="F491" s="4">
        <v>774880665</v>
      </c>
      <c r="G491" s="4">
        <v>145014</v>
      </c>
      <c r="H491" s="26">
        <v>1</v>
      </c>
      <c r="I491" s="28">
        <v>45282</v>
      </c>
      <c r="J491" s="27" t="s">
        <v>747</v>
      </c>
    </row>
    <row r="492" spans="1:10" thickTop="1" thickBot="1" x14ac:dyDescent="0.6">
      <c r="A492" s="15">
        <v>491</v>
      </c>
      <c r="B492" s="16">
        <v>1150052</v>
      </c>
      <c r="C492" s="4" t="s">
        <v>748</v>
      </c>
      <c r="D492" s="25" t="s">
        <v>749</v>
      </c>
      <c r="E492" s="25" t="s">
        <v>63</v>
      </c>
      <c r="F492" s="4">
        <v>779366316</v>
      </c>
      <c r="G492" s="4">
        <v>309364</v>
      </c>
      <c r="H492" s="26">
        <v>1</v>
      </c>
      <c r="J492" s="27" t="s">
        <v>750</v>
      </c>
    </row>
    <row r="493" spans="1:10" thickTop="1" thickBot="1" x14ac:dyDescent="0.6">
      <c r="A493" s="15">
        <v>492</v>
      </c>
      <c r="B493" s="16">
        <v>1150704</v>
      </c>
      <c r="C493" s="4" t="s">
        <v>751</v>
      </c>
      <c r="D493" s="25" t="s">
        <v>752</v>
      </c>
      <c r="E493" s="25" t="s">
        <v>249</v>
      </c>
      <c r="F493" s="4">
        <v>774668728</v>
      </c>
      <c r="G493" s="4" t="str">
        <f>"0"&amp;95664</f>
        <v>095664</v>
      </c>
      <c r="H493" s="26">
        <v>1</v>
      </c>
      <c r="I493" s="28">
        <v>45468</v>
      </c>
      <c r="J493" s="27" t="s">
        <v>753</v>
      </c>
    </row>
    <row r="494" spans="1:10" thickTop="1" thickBot="1" x14ac:dyDescent="0.6">
      <c r="A494" s="15">
        <v>493</v>
      </c>
    </row>
    <row r="495" spans="1:10" thickTop="1" thickBot="1" x14ac:dyDescent="0.6">
      <c r="A495" s="15">
        <v>494</v>
      </c>
      <c r="B495" s="16">
        <v>1151551</v>
      </c>
      <c r="C495" s="4" t="s">
        <v>754</v>
      </c>
      <c r="E495" s="25" t="s">
        <v>238</v>
      </c>
      <c r="F495" s="4">
        <v>772914951</v>
      </c>
      <c r="G495" s="4">
        <v>730966</v>
      </c>
      <c r="H495" s="26">
        <v>1</v>
      </c>
      <c r="I495" s="28"/>
    </row>
    <row r="496" spans="1:10" thickTop="1" thickBot="1" x14ac:dyDescent="0.6">
      <c r="A496" s="15">
        <v>495</v>
      </c>
      <c r="B496" s="16">
        <v>1151045</v>
      </c>
      <c r="C496" s="4" t="s">
        <v>755</v>
      </c>
      <c r="D496" s="25" t="s">
        <v>756</v>
      </c>
      <c r="E496" s="25" t="s">
        <v>23</v>
      </c>
      <c r="F496" s="4" t="s">
        <v>757</v>
      </c>
      <c r="G496" s="4">
        <v>363690</v>
      </c>
      <c r="H496" s="26">
        <v>1</v>
      </c>
      <c r="I496" s="28">
        <v>45599</v>
      </c>
      <c r="J496" s="27" t="s">
        <v>758</v>
      </c>
    </row>
    <row r="497" spans="1:10" thickTop="1" thickBot="1" x14ac:dyDescent="0.6">
      <c r="A497" s="15">
        <v>496</v>
      </c>
      <c r="B497" s="16">
        <v>1151235</v>
      </c>
      <c r="C497" s="4" t="s">
        <v>1623</v>
      </c>
      <c r="D497" s="6"/>
      <c r="E497" s="32" t="s">
        <v>23</v>
      </c>
      <c r="F497" s="4">
        <v>776577847</v>
      </c>
      <c r="G497" s="4">
        <v>230972</v>
      </c>
      <c r="H497" s="26">
        <v>1</v>
      </c>
      <c r="I497" s="28">
        <v>45609</v>
      </c>
    </row>
    <row r="498" spans="1:10" thickTop="1" thickBot="1" x14ac:dyDescent="0.6">
      <c r="A498" s="15">
        <v>497</v>
      </c>
      <c r="B498" s="16">
        <v>1150866</v>
      </c>
      <c r="C498" s="4" t="s">
        <v>759</v>
      </c>
      <c r="E498" s="25" t="s">
        <v>78</v>
      </c>
      <c r="F498" s="4">
        <v>760203512</v>
      </c>
      <c r="G498" s="4">
        <v>247372</v>
      </c>
      <c r="H498" s="26">
        <v>1</v>
      </c>
      <c r="I498" s="28">
        <v>45569</v>
      </c>
      <c r="J498" s="27" t="s">
        <v>760</v>
      </c>
    </row>
    <row r="499" spans="1:10" thickTop="1" thickBot="1" x14ac:dyDescent="0.6">
      <c r="A499" s="15">
        <v>498</v>
      </c>
      <c r="B499" s="16">
        <v>1150439</v>
      </c>
      <c r="C499" s="4" t="s">
        <v>761</v>
      </c>
      <c r="E499" s="25" t="s">
        <v>78</v>
      </c>
      <c r="F499" s="4">
        <v>716487122</v>
      </c>
      <c r="G499" s="4">
        <v>117922</v>
      </c>
      <c r="H499" s="26">
        <v>1</v>
      </c>
      <c r="I499" s="28">
        <v>44998</v>
      </c>
      <c r="J499" s="27" t="s">
        <v>762</v>
      </c>
    </row>
    <row r="500" spans="1:10" thickTop="1" thickBot="1" x14ac:dyDescent="0.6">
      <c r="A500" s="15">
        <v>499</v>
      </c>
      <c r="B500" s="16">
        <v>1151463</v>
      </c>
      <c r="C500" s="4" t="s">
        <v>2928</v>
      </c>
      <c r="D500" s="25" t="s">
        <v>2929</v>
      </c>
      <c r="E500" s="25" t="s">
        <v>23</v>
      </c>
      <c r="F500" s="4" t="s">
        <v>2930</v>
      </c>
      <c r="G500" s="4">
        <v>482433</v>
      </c>
      <c r="H500" s="26">
        <v>1</v>
      </c>
      <c r="I500" s="28">
        <v>45751</v>
      </c>
      <c r="J500" s="27" t="s">
        <v>2931</v>
      </c>
    </row>
    <row r="501" spans="1:10" thickTop="1" thickBot="1" x14ac:dyDescent="0.6">
      <c r="A501" s="15">
        <v>500</v>
      </c>
      <c r="B501" s="16">
        <v>1150726</v>
      </c>
      <c r="C501" s="4" t="s">
        <v>763</v>
      </c>
      <c r="D501" s="25" t="s">
        <v>764</v>
      </c>
      <c r="E501" s="25" t="s">
        <v>57</v>
      </c>
      <c r="F501" s="4">
        <v>704424881</v>
      </c>
      <c r="G501" s="4">
        <v>122260</v>
      </c>
      <c r="H501" s="26">
        <v>1</v>
      </c>
      <c r="I501" s="28">
        <v>45484</v>
      </c>
      <c r="J501" s="27" t="s">
        <v>765</v>
      </c>
    </row>
    <row r="502" spans="1:10" thickTop="1" thickBot="1" x14ac:dyDescent="0.6">
      <c r="A502" s="15">
        <v>501</v>
      </c>
      <c r="B502" s="16">
        <v>1150225</v>
      </c>
      <c r="C502" s="4" t="s">
        <v>766</v>
      </c>
      <c r="D502" s="25" t="s">
        <v>738</v>
      </c>
      <c r="E502" s="25" t="s">
        <v>23</v>
      </c>
      <c r="F502" s="4" t="s">
        <v>767</v>
      </c>
      <c r="G502" s="4">
        <v>587084</v>
      </c>
      <c r="H502" s="26">
        <v>1</v>
      </c>
      <c r="I502" s="28"/>
      <c r="J502" s="27" t="s">
        <v>768</v>
      </c>
    </row>
    <row r="503" spans="1:10" thickTop="1" thickBot="1" x14ac:dyDescent="0.6">
      <c r="A503" s="15">
        <v>502</v>
      </c>
    </row>
    <row r="504" spans="1:10" thickTop="1" thickBot="1" x14ac:dyDescent="0.6">
      <c r="A504" s="15">
        <v>503</v>
      </c>
      <c r="B504" s="16">
        <v>1151326</v>
      </c>
      <c r="C504" s="4" t="s">
        <v>769</v>
      </c>
      <c r="D504" s="25" t="s">
        <v>770</v>
      </c>
      <c r="E504" s="25" t="s">
        <v>78</v>
      </c>
      <c r="F504" s="4">
        <v>776155361</v>
      </c>
      <c r="G504" s="4">
        <v>358179</v>
      </c>
      <c r="H504" s="26">
        <v>1</v>
      </c>
      <c r="I504" s="28">
        <v>45627</v>
      </c>
      <c r="J504" s="27">
        <v>197236401080</v>
      </c>
    </row>
    <row r="505" spans="1:10" thickTop="1" thickBot="1" x14ac:dyDescent="0.6">
      <c r="A505" s="15">
        <v>504</v>
      </c>
    </row>
    <row r="506" spans="1:10" thickTop="1" thickBot="1" x14ac:dyDescent="0.6">
      <c r="A506" s="15">
        <v>505</v>
      </c>
      <c r="B506" s="16">
        <v>1151553</v>
      </c>
      <c r="C506" s="4" t="s">
        <v>771</v>
      </c>
      <c r="D506" s="25" t="s">
        <v>490</v>
      </c>
      <c r="E506" s="25" t="s">
        <v>238</v>
      </c>
      <c r="F506" s="4" t="s">
        <v>3271</v>
      </c>
      <c r="G506" s="4">
        <v>727699</v>
      </c>
      <c r="H506" s="26">
        <v>1</v>
      </c>
    </row>
    <row r="507" spans="1:10" thickTop="1" thickBot="1" x14ac:dyDescent="0.6">
      <c r="A507" s="15">
        <v>506</v>
      </c>
    </row>
    <row r="508" spans="1:10" thickTop="1" thickBot="1" x14ac:dyDescent="0.6">
      <c r="A508" s="15">
        <v>507</v>
      </c>
    </row>
    <row r="509" spans="1:10" thickTop="1" thickBot="1" x14ac:dyDescent="0.6">
      <c r="A509" s="15">
        <v>508</v>
      </c>
      <c r="B509" s="16">
        <v>1151369</v>
      </c>
      <c r="C509" s="4" t="s">
        <v>2705</v>
      </c>
      <c r="E509" s="25" t="s">
        <v>125</v>
      </c>
      <c r="F509" s="4">
        <v>769747843</v>
      </c>
      <c r="G509" s="4">
        <v>403553</v>
      </c>
      <c r="H509" s="26">
        <v>1</v>
      </c>
      <c r="I509" s="28">
        <v>45694</v>
      </c>
      <c r="J509" s="27" t="s">
        <v>2706</v>
      </c>
    </row>
    <row r="510" spans="1:10" thickTop="1" thickBot="1" x14ac:dyDescent="0.6">
      <c r="A510" s="15">
        <v>509</v>
      </c>
      <c r="B510" s="16">
        <v>1150729</v>
      </c>
      <c r="C510" s="4" t="s">
        <v>3101</v>
      </c>
      <c r="D510" s="25" t="s">
        <v>1159</v>
      </c>
      <c r="E510" s="25" t="s">
        <v>6</v>
      </c>
      <c r="F510" s="4">
        <v>779550678</v>
      </c>
      <c r="G510" s="4" t="str">
        <f>"0"&amp;88248</f>
        <v>088248</v>
      </c>
      <c r="H510" s="26">
        <v>1</v>
      </c>
      <c r="I510" s="28">
        <v>45803</v>
      </c>
      <c r="J510" s="27" t="s">
        <v>3102</v>
      </c>
    </row>
    <row r="511" spans="1:10" thickTop="1" thickBot="1" x14ac:dyDescent="0.6">
      <c r="A511" s="15">
        <v>510</v>
      </c>
    </row>
    <row r="512" spans="1:10" thickTop="1" thickBot="1" x14ac:dyDescent="0.6">
      <c r="A512" s="15">
        <v>511</v>
      </c>
      <c r="B512" s="16">
        <v>1151540</v>
      </c>
      <c r="C512" s="4" t="s">
        <v>772</v>
      </c>
      <c r="D512" s="25" t="s">
        <v>773</v>
      </c>
      <c r="E512" s="25" t="s">
        <v>12</v>
      </c>
      <c r="F512" s="4">
        <v>761214040</v>
      </c>
      <c r="G512" s="4">
        <v>256391</v>
      </c>
      <c r="H512" s="26">
        <v>1</v>
      </c>
    </row>
    <row r="513" spans="1:10" thickTop="1" thickBot="1" x14ac:dyDescent="0.6">
      <c r="A513" s="15">
        <v>512</v>
      </c>
      <c r="B513" s="16">
        <v>1151050</v>
      </c>
      <c r="C513" s="4" t="s">
        <v>774</v>
      </c>
      <c r="D513" s="25" t="s">
        <v>775</v>
      </c>
      <c r="E513" s="25" t="s">
        <v>23</v>
      </c>
      <c r="F513" s="4" t="s">
        <v>776</v>
      </c>
      <c r="G513" s="4">
        <v>374739</v>
      </c>
      <c r="H513" s="26">
        <v>1</v>
      </c>
      <c r="I513" s="28">
        <v>45600</v>
      </c>
      <c r="J513" s="27" t="s">
        <v>777</v>
      </c>
    </row>
    <row r="514" spans="1:10" thickTop="1" thickBot="1" x14ac:dyDescent="0.6">
      <c r="A514" s="15">
        <v>513</v>
      </c>
    </row>
    <row r="515" spans="1:10" thickTop="1" thickBot="1" x14ac:dyDescent="0.6">
      <c r="A515" s="15">
        <v>514</v>
      </c>
    </row>
    <row r="516" spans="1:10" thickTop="1" thickBot="1" x14ac:dyDescent="0.6">
      <c r="A516" s="15">
        <v>515</v>
      </c>
      <c r="B516" s="16">
        <v>1150687</v>
      </c>
      <c r="C516" s="4" t="s">
        <v>778</v>
      </c>
      <c r="D516" s="25" t="s">
        <v>779</v>
      </c>
      <c r="E516" s="25" t="s">
        <v>238</v>
      </c>
      <c r="F516" s="4">
        <v>757947977</v>
      </c>
      <c r="G516" s="4">
        <v>113194</v>
      </c>
      <c r="H516" s="26">
        <v>1</v>
      </c>
      <c r="I516" s="28">
        <v>45442</v>
      </c>
      <c r="J516" s="27">
        <v>802222841101</v>
      </c>
    </row>
    <row r="517" spans="1:10" thickTop="1" thickBot="1" x14ac:dyDescent="0.6">
      <c r="A517" s="15">
        <v>516</v>
      </c>
      <c r="B517" s="16">
        <v>1151554</v>
      </c>
      <c r="C517" s="4" t="s">
        <v>780</v>
      </c>
      <c r="D517" s="25" t="s">
        <v>781</v>
      </c>
      <c r="E517" s="25" t="s">
        <v>57</v>
      </c>
      <c r="F517" s="4">
        <v>713716230</v>
      </c>
      <c r="G517" s="4">
        <v>239199</v>
      </c>
      <c r="H517" s="26">
        <v>1</v>
      </c>
    </row>
    <row r="518" spans="1:10" thickTop="1" thickBot="1" x14ac:dyDescent="0.6">
      <c r="A518" s="15">
        <v>517</v>
      </c>
      <c r="B518" s="16">
        <v>1151360</v>
      </c>
      <c r="C518" s="4" t="s">
        <v>2683</v>
      </c>
      <c r="E518" s="25" t="s">
        <v>50</v>
      </c>
      <c r="F518" s="4">
        <v>774506775</v>
      </c>
      <c r="G518" s="4">
        <v>665706</v>
      </c>
      <c r="H518" s="26">
        <v>1</v>
      </c>
      <c r="I518" s="28">
        <v>45688</v>
      </c>
      <c r="J518" s="27">
        <v>200012603841</v>
      </c>
    </row>
    <row r="519" spans="1:10" thickTop="1" thickBot="1" x14ac:dyDescent="0.6">
      <c r="A519" s="15">
        <v>518</v>
      </c>
    </row>
    <row r="520" spans="1:10" thickTop="1" thickBot="1" x14ac:dyDescent="0.6">
      <c r="A520" s="15">
        <v>519</v>
      </c>
      <c r="B520" s="16">
        <v>1150100</v>
      </c>
      <c r="C520" s="4" t="s">
        <v>782</v>
      </c>
      <c r="E520" s="25" t="s">
        <v>85</v>
      </c>
      <c r="F520" s="4">
        <v>512224000</v>
      </c>
      <c r="G520" s="4" t="s">
        <v>783</v>
      </c>
      <c r="H520" s="26">
        <v>2</v>
      </c>
      <c r="J520" s="27">
        <v>198131904651</v>
      </c>
    </row>
    <row r="521" spans="1:10" thickTop="1" thickBot="1" x14ac:dyDescent="0.6">
      <c r="A521" s="15">
        <v>520</v>
      </c>
      <c r="B521" s="16">
        <v>1150345</v>
      </c>
      <c r="C521" s="4" t="s">
        <v>784</v>
      </c>
      <c r="D521" s="25" t="s">
        <v>785</v>
      </c>
      <c r="E521" s="25" t="s">
        <v>43</v>
      </c>
      <c r="F521" s="4" t="s">
        <v>786</v>
      </c>
      <c r="G521" s="4" t="str">
        <f>"0"&amp;81948</f>
        <v>081948</v>
      </c>
      <c r="H521" s="26">
        <v>1</v>
      </c>
      <c r="I521" s="28">
        <v>44706</v>
      </c>
      <c r="J521" s="27" t="s">
        <v>787</v>
      </c>
    </row>
    <row r="522" spans="1:10" thickTop="1" thickBot="1" x14ac:dyDescent="0.6">
      <c r="A522" s="15">
        <v>521</v>
      </c>
      <c r="B522" s="16">
        <v>1150715</v>
      </c>
      <c r="C522" s="4" t="s">
        <v>788</v>
      </c>
      <c r="D522" s="25" t="s">
        <v>383</v>
      </c>
      <c r="E522" s="25" t="s">
        <v>23</v>
      </c>
      <c r="F522" s="4">
        <v>778494776</v>
      </c>
      <c r="G522" s="4">
        <v>146756</v>
      </c>
      <c r="H522" s="26">
        <v>1</v>
      </c>
      <c r="I522" s="28">
        <v>45479</v>
      </c>
      <c r="J522" s="27" t="s">
        <v>789</v>
      </c>
    </row>
    <row r="523" spans="1:10" thickTop="1" thickBot="1" x14ac:dyDescent="0.6">
      <c r="A523" s="15">
        <v>522</v>
      </c>
      <c r="B523" s="16">
        <v>1151514</v>
      </c>
      <c r="C523" s="4" t="s">
        <v>3099</v>
      </c>
      <c r="D523" s="25" t="s">
        <v>3100</v>
      </c>
      <c r="E523" s="25" t="s">
        <v>249</v>
      </c>
      <c r="F523" s="4">
        <v>763223590</v>
      </c>
      <c r="G523" s="4">
        <v>478571</v>
      </c>
      <c r="H523" s="26">
        <v>1</v>
      </c>
      <c r="I523" s="28">
        <v>45803</v>
      </c>
      <c r="J523" s="27">
        <v>196914901617</v>
      </c>
    </row>
    <row r="524" spans="1:10" thickTop="1" thickBot="1" x14ac:dyDescent="0.6">
      <c r="A524" s="15">
        <v>523</v>
      </c>
      <c r="B524" s="16">
        <v>1150688</v>
      </c>
      <c r="C524" s="4" t="s">
        <v>790</v>
      </c>
      <c r="D524" s="25" t="s">
        <v>791</v>
      </c>
      <c r="E524" s="25" t="s">
        <v>50</v>
      </c>
      <c r="F524" s="4" t="s">
        <v>792</v>
      </c>
      <c r="G524" s="4">
        <v>104789</v>
      </c>
      <c r="H524" s="26">
        <v>1</v>
      </c>
      <c r="I524" s="28">
        <v>45443</v>
      </c>
      <c r="J524" s="27" t="s">
        <v>793</v>
      </c>
    </row>
    <row r="525" spans="1:10" thickTop="1" thickBot="1" x14ac:dyDescent="0.6">
      <c r="A525" s="15">
        <v>524</v>
      </c>
      <c r="I525" s="28"/>
    </row>
    <row r="526" spans="1:10" thickTop="1" thickBot="1" x14ac:dyDescent="0.6">
      <c r="A526" s="15">
        <v>525</v>
      </c>
      <c r="B526" s="16">
        <v>1150089</v>
      </c>
      <c r="C526" s="4" t="s">
        <v>794</v>
      </c>
      <c r="D526" s="25" t="s">
        <v>795</v>
      </c>
      <c r="E526" s="25" t="s">
        <v>50</v>
      </c>
      <c r="F526" s="4">
        <v>775898258</v>
      </c>
      <c r="G526" s="4">
        <v>658661</v>
      </c>
      <c r="H526" s="26">
        <v>1</v>
      </c>
      <c r="I526" s="28">
        <v>44318</v>
      </c>
      <c r="J526" s="27" t="s">
        <v>796</v>
      </c>
    </row>
    <row r="527" spans="1:10" thickTop="1" thickBot="1" x14ac:dyDescent="0.6">
      <c r="A527" s="15">
        <v>526</v>
      </c>
    </row>
    <row r="528" spans="1:10" thickTop="1" thickBot="1" x14ac:dyDescent="0.6">
      <c r="A528" s="15">
        <v>527</v>
      </c>
      <c r="B528" s="16">
        <v>1151109</v>
      </c>
      <c r="C528" s="4" t="s">
        <v>797</v>
      </c>
      <c r="D528" s="25" t="s">
        <v>798</v>
      </c>
      <c r="E528" s="25" t="s">
        <v>23</v>
      </c>
      <c r="F528" s="4">
        <v>776247717</v>
      </c>
      <c r="G528" s="4">
        <v>225113</v>
      </c>
      <c r="H528" s="26">
        <v>1</v>
      </c>
      <c r="I528" s="28">
        <v>45603</v>
      </c>
    </row>
    <row r="529" spans="1:10" thickTop="1" thickBot="1" x14ac:dyDescent="0.6">
      <c r="A529" s="15">
        <v>528</v>
      </c>
      <c r="I529" s="28"/>
    </row>
    <row r="530" spans="1:10" thickTop="1" thickBot="1" x14ac:dyDescent="0.6">
      <c r="A530" s="15">
        <v>529</v>
      </c>
      <c r="B530" s="16">
        <v>1151065</v>
      </c>
      <c r="C530" s="4" t="s">
        <v>799</v>
      </c>
      <c r="D530" s="25" t="s">
        <v>800</v>
      </c>
      <c r="E530" s="25" t="s">
        <v>12</v>
      </c>
      <c r="F530" s="4">
        <v>774930113</v>
      </c>
      <c r="G530" s="4">
        <v>347339</v>
      </c>
      <c r="H530" s="26">
        <v>1</v>
      </c>
      <c r="I530" s="28">
        <v>45601</v>
      </c>
    </row>
    <row r="531" spans="1:10" thickTop="1" thickBot="1" x14ac:dyDescent="0.6">
      <c r="A531" s="15">
        <v>530</v>
      </c>
      <c r="B531" s="16">
        <v>1150573</v>
      </c>
      <c r="C531" s="4" t="s">
        <v>801</v>
      </c>
      <c r="D531" s="25" t="s">
        <v>399</v>
      </c>
      <c r="E531" s="25" t="s">
        <v>24</v>
      </c>
      <c r="F531" s="4">
        <v>770357966</v>
      </c>
      <c r="G531" s="4">
        <v>116163</v>
      </c>
      <c r="H531" s="26">
        <v>1</v>
      </c>
      <c r="I531" s="28">
        <v>45287</v>
      </c>
      <c r="J531" s="27" t="s">
        <v>61</v>
      </c>
    </row>
    <row r="532" spans="1:10" thickTop="1" thickBot="1" x14ac:dyDescent="0.6">
      <c r="A532" s="15">
        <v>531</v>
      </c>
      <c r="C532" s="4" t="s">
        <v>802</v>
      </c>
      <c r="E532" s="25" t="s">
        <v>238</v>
      </c>
      <c r="F532" s="4">
        <v>773540150</v>
      </c>
      <c r="H532" s="26">
        <v>1</v>
      </c>
    </row>
    <row r="533" spans="1:10" thickTop="1" thickBot="1" x14ac:dyDescent="0.6">
      <c r="A533" s="15">
        <v>532</v>
      </c>
    </row>
    <row r="534" spans="1:10" thickTop="1" thickBot="1" x14ac:dyDescent="0.6">
      <c r="A534" s="15">
        <v>533</v>
      </c>
    </row>
    <row r="535" spans="1:10" thickTop="1" thickBot="1" x14ac:dyDescent="0.6">
      <c r="A535" s="15">
        <v>534</v>
      </c>
    </row>
    <row r="536" spans="1:10" thickTop="1" thickBot="1" x14ac:dyDescent="0.6">
      <c r="A536" s="15">
        <v>535</v>
      </c>
      <c r="I536" s="28"/>
    </row>
    <row r="537" spans="1:10" thickTop="1" thickBot="1" x14ac:dyDescent="0.6">
      <c r="A537" s="15">
        <v>536</v>
      </c>
      <c r="B537" s="16">
        <v>1150117</v>
      </c>
      <c r="C537" s="4" t="s">
        <v>804</v>
      </c>
      <c r="E537" s="25" t="s">
        <v>6</v>
      </c>
      <c r="F537" s="4" t="s">
        <v>805</v>
      </c>
      <c r="G537" s="4">
        <v>610894</v>
      </c>
      <c r="H537" s="26">
        <v>1</v>
      </c>
      <c r="J537" s="27" t="s">
        <v>806</v>
      </c>
    </row>
    <row r="538" spans="1:10" thickTop="1" thickBot="1" x14ac:dyDescent="0.6">
      <c r="A538" s="15">
        <v>537</v>
      </c>
      <c r="B538" s="16">
        <v>1151541</v>
      </c>
      <c r="C538" s="4" t="s">
        <v>2919</v>
      </c>
      <c r="D538" s="25" t="s">
        <v>243</v>
      </c>
      <c r="E538" s="25" t="s">
        <v>6</v>
      </c>
      <c r="F538" s="4">
        <v>770653260</v>
      </c>
      <c r="G538" s="4">
        <v>272034</v>
      </c>
      <c r="H538" s="26">
        <v>1</v>
      </c>
    </row>
    <row r="539" spans="1:10" thickTop="1" thickBot="1" x14ac:dyDescent="0.6">
      <c r="A539" s="15">
        <v>538</v>
      </c>
      <c r="B539" s="16">
        <v>1150877</v>
      </c>
      <c r="C539" s="4" t="s">
        <v>807</v>
      </c>
      <c r="D539" s="25" t="s">
        <v>808</v>
      </c>
      <c r="E539" s="25" t="s">
        <v>50</v>
      </c>
      <c r="F539" s="4">
        <v>512222452</v>
      </c>
      <c r="G539" s="4">
        <v>137938</v>
      </c>
      <c r="H539" s="26">
        <v>1</v>
      </c>
      <c r="I539" s="28">
        <v>45572</v>
      </c>
      <c r="J539" s="27" t="s">
        <v>809</v>
      </c>
    </row>
    <row r="540" spans="1:10" thickTop="1" thickBot="1" x14ac:dyDescent="0.6">
      <c r="A540" s="15">
        <v>539</v>
      </c>
      <c r="B540" s="16">
        <v>1150130</v>
      </c>
      <c r="C540" s="4" t="s">
        <v>810</v>
      </c>
      <c r="E540" s="25" t="s">
        <v>6</v>
      </c>
      <c r="F540" s="4">
        <v>777199199</v>
      </c>
      <c r="G540" s="4">
        <v>491857</v>
      </c>
      <c r="H540" s="26">
        <v>1</v>
      </c>
      <c r="J540" s="27" t="s">
        <v>811</v>
      </c>
    </row>
    <row r="541" spans="1:10" thickTop="1" thickBot="1" x14ac:dyDescent="0.6">
      <c r="A541" s="15">
        <v>540</v>
      </c>
    </row>
    <row r="542" spans="1:10" thickTop="1" thickBot="1" x14ac:dyDescent="0.6">
      <c r="A542" s="15">
        <v>541</v>
      </c>
    </row>
    <row r="543" spans="1:10" thickTop="1" thickBot="1" x14ac:dyDescent="0.6">
      <c r="A543" s="15">
        <v>542</v>
      </c>
      <c r="B543" s="16">
        <v>1151041</v>
      </c>
      <c r="C543" s="4" t="s">
        <v>813</v>
      </c>
      <c r="D543" s="25" t="s">
        <v>814</v>
      </c>
      <c r="E543" s="25" t="s">
        <v>316</v>
      </c>
      <c r="F543" s="4">
        <v>774696926</v>
      </c>
      <c r="G543" s="4">
        <v>195548</v>
      </c>
      <c r="H543" s="26">
        <v>1</v>
      </c>
      <c r="I543" s="28">
        <v>45595</v>
      </c>
      <c r="J543" s="27" t="s">
        <v>815</v>
      </c>
    </row>
    <row r="544" spans="1:10" thickTop="1" thickBot="1" x14ac:dyDescent="0.6">
      <c r="A544" s="15">
        <v>543</v>
      </c>
      <c r="B544" s="16">
        <v>1150112</v>
      </c>
      <c r="C544" s="4" t="s">
        <v>816</v>
      </c>
      <c r="D544" s="25" t="s">
        <v>673</v>
      </c>
      <c r="E544" s="25" t="s">
        <v>23</v>
      </c>
      <c r="F544" s="4">
        <v>767675847</v>
      </c>
      <c r="G544" s="4">
        <v>603568</v>
      </c>
      <c r="H544" s="26">
        <v>1</v>
      </c>
      <c r="I544" s="28">
        <v>44338</v>
      </c>
      <c r="J544" s="27" t="s">
        <v>817</v>
      </c>
    </row>
    <row r="545" spans="1:10" thickTop="1" thickBot="1" x14ac:dyDescent="0.6">
      <c r="A545" s="15">
        <v>544</v>
      </c>
    </row>
    <row r="546" spans="1:10" thickTop="1" thickBot="1" x14ac:dyDescent="0.6">
      <c r="A546" s="15">
        <v>545</v>
      </c>
      <c r="B546" s="16">
        <v>1150137</v>
      </c>
      <c r="C546" s="4" t="s">
        <v>818</v>
      </c>
      <c r="D546" s="25" t="s">
        <v>605</v>
      </c>
      <c r="E546" s="25" t="s">
        <v>63</v>
      </c>
      <c r="F546" s="4" t="s">
        <v>819</v>
      </c>
      <c r="G546" s="4">
        <v>759675</v>
      </c>
      <c r="H546" s="26">
        <v>1</v>
      </c>
      <c r="J546" s="27">
        <v>836384342</v>
      </c>
    </row>
    <row r="547" spans="1:10" thickTop="1" thickBot="1" x14ac:dyDescent="0.6">
      <c r="A547" s="15">
        <v>546</v>
      </c>
      <c r="I547" s="28"/>
    </row>
    <row r="548" spans="1:10" thickTop="1" thickBot="1" x14ac:dyDescent="0.6">
      <c r="A548" s="15">
        <v>547</v>
      </c>
      <c r="C548" s="4" t="s">
        <v>820</v>
      </c>
      <c r="D548" s="25" t="s">
        <v>821</v>
      </c>
      <c r="E548" s="25" t="s">
        <v>238</v>
      </c>
      <c r="F548" s="4">
        <v>775552219</v>
      </c>
      <c r="G548" s="4">
        <v>641337</v>
      </c>
      <c r="H548" s="26">
        <v>1</v>
      </c>
      <c r="I548" s="28">
        <v>44348</v>
      </c>
      <c r="J548" s="27" t="s">
        <v>822</v>
      </c>
    </row>
    <row r="549" spans="1:10" thickTop="1" thickBot="1" x14ac:dyDescent="0.6">
      <c r="A549" s="15">
        <v>548</v>
      </c>
      <c r="B549" s="16">
        <v>1150518</v>
      </c>
      <c r="C549" s="4" t="s">
        <v>823</v>
      </c>
      <c r="D549" s="25" t="s">
        <v>42</v>
      </c>
      <c r="E549" s="25" t="s">
        <v>238</v>
      </c>
      <c r="F549" s="4">
        <v>775171165</v>
      </c>
      <c r="G549" s="4" t="str">
        <f>"0"&amp;59306</f>
        <v>059306</v>
      </c>
      <c r="H549" s="26">
        <v>1</v>
      </c>
      <c r="I549" s="28">
        <v>45523</v>
      </c>
    </row>
    <row r="550" spans="1:10" thickTop="1" thickBot="1" x14ac:dyDescent="0.6">
      <c r="A550" s="15">
        <v>549</v>
      </c>
      <c r="B550" s="16">
        <v>1150380</v>
      </c>
      <c r="C550" s="4" t="s">
        <v>824</v>
      </c>
      <c r="D550" s="25" t="s">
        <v>825</v>
      </c>
      <c r="E550" s="25" t="s">
        <v>12</v>
      </c>
      <c r="F550" s="4">
        <v>777726299</v>
      </c>
      <c r="G550" s="4">
        <v>139076</v>
      </c>
      <c r="H550" s="26">
        <v>1</v>
      </c>
      <c r="I550" s="28">
        <v>45074</v>
      </c>
      <c r="J550" s="27" t="s">
        <v>826</v>
      </c>
    </row>
    <row r="551" spans="1:10" thickTop="1" thickBot="1" x14ac:dyDescent="0.6">
      <c r="A551" s="15">
        <v>550</v>
      </c>
      <c r="B551" s="16">
        <v>1050405</v>
      </c>
      <c r="C551" s="4" t="s">
        <v>827</v>
      </c>
      <c r="E551" s="25" t="s">
        <v>6</v>
      </c>
      <c r="F551" s="4" t="s">
        <v>2932</v>
      </c>
      <c r="G551" s="4">
        <v>127640</v>
      </c>
      <c r="H551" s="26">
        <v>1</v>
      </c>
      <c r="I551" s="28">
        <v>44936</v>
      </c>
      <c r="J551" s="27">
        <v>196411700933</v>
      </c>
    </row>
    <row r="552" spans="1:10" thickTop="1" thickBot="1" x14ac:dyDescent="0.6">
      <c r="A552" s="15">
        <v>551</v>
      </c>
      <c r="B552" s="16">
        <v>1150499</v>
      </c>
      <c r="C552" s="4" t="s">
        <v>828</v>
      </c>
      <c r="D552" s="25" t="s">
        <v>829</v>
      </c>
      <c r="E552" s="25" t="s">
        <v>507</v>
      </c>
      <c r="F552" s="4">
        <v>762610138</v>
      </c>
      <c r="G552" s="4" t="str">
        <f>"0"&amp;88487</f>
        <v>088487</v>
      </c>
      <c r="H552" s="26">
        <v>1</v>
      </c>
      <c r="I552" s="28">
        <v>45177</v>
      </c>
      <c r="J552" s="27" t="s">
        <v>830</v>
      </c>
    </row>
    <row r="553" spans="1:10" thickTop="1" thickBot="1" x14ac:dyDescent="0.6">
      <c r="A553" s="15">
        <v>552</v>
      </c>
      <c r="B553" s="16">
        <v>1150569</v>
      </c>
      <c r="C553" s="4" t="s">
        <v>831</v>
      </c>
      <c r="E553" s="25" t="s">
        <v>23</v>
      </c>
      <c r="F553" s="4">
        <v>773050409</v>
      </c>
      <c r="G553" s="4">
        <v>112980</v>
      </c>
      <c r="H553" s="26">
        <v>1</v>
      </c>
      <c r="I553" s="28">
        <v>45513</v>
      </c>
      <c r="J553" s="27" t="s">
        <v>832</v>
      </c>
    </row>
    <row r="554" spans="1:10" thickTop="1" thickBot="1" x14ac:dyDescent="0.6">
      <c r="A554" s="15">
        <v>553</v>
      </c>
      <c r="B554" s="16">
        <v>1150516</v>
      </c>
      <c r="C554" s="4" t="s">
        <v>833</v>
      </c>
      <c r="D554" s="25" t="s">
        <v>834</v>
      </c>
      <c r="E554" s="25" t="s">
        <v>23</v>
      </c>
      <c r="F554" s="4" t="s">
        <v>835</v>
      </c>
      <c r="G554" s="4">
        <v>158025</v>
      </c>
      <c r="H554" s="26">
        <v>1</v>
      </c>
      <c r="I554" s="28">
        <v>45221</v>
      </c>
      <c r="J554" s="27" t="s">
        <v>836</v>
      </c>
    </row>
    <row r="555" spans="1:10" thickTop="1" thickBot="1" x14ac:dyDescent="0.6">
      <c r="A555" s="15">
        <v>554</v>
      </c>
      <c r="B555" s="16">
        <v>1150809</v>
      </c>
      <c r="C555" s="4" t="s">
        <v>837</v>
      </c>
      <c r="D555" s="25" t="s">
        <v>838</v>
      </c>
      <c r="E555" s="25" t="s">
        <v>249</v>
      </c>
      <c r="F555" s="4" t="s">
        <v>839</v>
      </c>
      <c r="G555" s="4">
        <v>154164</v>
      </c>
      <c r="H555" s="26">
        <v>1</v>
      </c>
      <c r="I555" s="28">
        <v>45534</v>
      </c>
      <c r="J555" s="27">
        <v>197510801260</v>
      </c>
    </row>
    <row r="556" spans="1:10" thickTop="1" thickBot="1" x14ac:dyDescent="0.6">
      <c r="A556" s="15">
        <v>555</v>
      </c>
      <c r="B556" s="16">
        <v>1150858</v>
      </c>
      <c r="C556" s="4" t="s">
        <v>840</v>
      </c>
      <c r="D556" s="25" t="s">
        <v>230</v>
      </c>
      <c r="E556" s="25" t="s">
        <v>6</v>
      </c>
      <c r="F556" s="4" t="s">
        <v>841</v>
      </c>
      <c r="G556" s="4">
        <v>377013</v>
      </c>
      <c r="H556" s="26">
        <v>1</v>
      </c>
      <c r="I556" s="28">
        <v>45567</v>
      </c>
      <c r="J556" s="27" t="s">
        <v>842</v>
      </c>
    </row>
    <row r="557" spans="1:10" thickTop="1" thickBot="1" x14ac:dyDescent="0.6">
      <c r="A557" s="15">
        <v>556</v>
      </c>
      <c r="B557" s="16">
        <v>1150222</v>
      </c>
      <c r="C557" s="4" t="s">
        <v>843</v>
      </c>
      <c r="D557" s="25" t="s">
        <v>844</v>
      </c>
      <c r="E557" s="25" t="s">
        <v>63</v>
      </c>
      <c r="F557" s="4">
        <v>512223916</v>
      </c>
      <c r="G557" s="4">
        <v>253075</v>
      </c>
      <c r="H557" s="26">
        <v>1</v>
      </c>
      <c r="I557" s="28">
        <v>44376</v>
      </c>
      <c r="J557" s="27" t="s">
        <v>845</v>
      </c>
    </row>
    <row r="558" spans="1:10" thickTop="1" thickBot="1" x14ac:dyDescent="0.6">
      <c r="A558" s="15">
        <v>557</v>
      </c>
    </row>
    <row r="559" spans="1:10" thickTop="1" thickBot="1" x14ac:dyDescent="0.6">
      <c r="A559" s="15">
        <v>558</v>
      </c>
      <c r="B559" s="16">
        <v>1150248</v>
      </c>
      <c r="C559" s="4" t="s">
        <v>846</v>
      </c>
      <c r="D559" s="25" t="s">
        <v>744</v>
      </c>
      <c r="E559" s="25" t="s">
        <v>6</v>
      </c>
      <c r="F559" s="4">
        <v>777251037</v>
      </c>
      <c r="G559" s="4">
        <v>595079</v>
      </c>
      <c r="H559" s="26">
        <v>1</v>
      </c>
      <c r="I559" s="28">
        <v>44378</v>
      </c>
      <c r="J559" s="27" t="s">
        <v>847</v>
      </c>
    </row>
    <row r="560" spans="1:10" thickTop="1" thickBot="1" x14ac:dyDescent="0.6">
      <c r="A560" s="15">
        <v>559</v>
      </c>
      <c r="B560" s="16">
        <v>1151067</v>
      </c>
      <c r="C560" s="4" t="s">
        <v>848</v>
      </c>
      <c r="D560" s="25" t="s">
        <v>849</v>
      </c>
      <c r="E560" s="25" t="s">
        <v>57</v>
      </c>
      <c r="F560" s="4">
        <v>776925290</v>
      </c>
      <c r="G560" s="4" t="s">
        <v>2775</v>
      </c>
      <c r="H560" s="26">
        <v>2</v>
      </c>
      <c r="I560" s="28">
        <v>45601</v>
      </c>
      <c r="J560" s="27" t="s">
        <v>850</v>
      </c>
    </row>
    <row r="561" spans="1:10" thickTop="1" thickBot="1" x14ac:dyDescent="0.6">
      <c r="A561" s="15">
        <v>560</v>
      </c>
    </row>
    <row r="562" spans="1:10" thickTop="1" thickBot="1" x14ac:dyDescent="0.6">
      <c r="A562" s="15">
        <v>561</v>
      </c>
      <c r="I562" s="28"/>
    </row>
    <row r="563" spans="1:10" thickTop="1" thickBot="1" x14ac:dyDescent="0.6">
      <c r="A563" s="15">
        <v>562</v>
      </c>
      <c r="C563" s="4" t="s">
        <v>851</v>
      </c>
      <c r="D563" s="25" t="s">
        <v>852</v>
      </c>
      <c r="E563" s="25" t="s">
        <v>85</v>
      </c>
      <c r="F563" s="4" t="s">
        <v>853</v>
      </c>
      <c r="I563" s="28">
        <v>44393</v>
      </c>
      <c r="J563" s="27" t="s">
        <v>854</v>
      </c>
    </row>
    <row r="564" spans="1:10" thickTop="1" thickBot="1" x14ac:dyDescent="0.6">
      <c r="A564" s="15">
        <v>563</v>
      </c>
    </row>
    <row r="565" spans="1:10" thickTop="1" thickBot="1" x14ac:dyDescent="0.6">
      <c r="A565" s="15">
        <v>564</v>
      </c>
      <c r="B565" s="16">
        <v>1150239</v>
      </c>
      <c r="C565" s="4" t="s">
        <v>855</v>
      </c>
      <c r="E565" s="25" t="s">
        <v>23</v>
      </c>
      <c r="F565" s="4">
        <v>777127137</v>
      </c>
      <c r="G565" s="4" t="s">
        <v>856</v>
      </c>
      <c r="H565" s="26">
        <v>2</v>
      </c>
      <c r="I565" s="28">
        <v>44393</v>
      </c>
      <c r="J565" s="27" t="s">
        <v>857</v>
      </c>
    </row>
    <row r="566" spans="1:10" thickTop="1" thickBot="1" x14ac:dyDescent="0.6">
      <c r="A566" s="15">
        <v>565</v>
      </c>
      <c r="B566" s="16">
        <v>1150738</v>
      </c>
      <c r="C566" s="4" t="s">
        <v>858</v>
      </c>
      <c r="D566" s="25" t="s">
        <v>859</v>
      </c>
      <c r="E566" s="25" t="s">
        <v>6</v>
      </c>
      <c r="F566" s="4">
        <v>512223066</v>
      </c>
      <c r="G566" s="4" t="s">
        <v>2759</v>
      </c>
      <c r="H566" s="26">
        <v>2</v>
      </c>
      <c r="I566" s="28">
        <v>45491</v>
      </c>
      <c r="J566" s="27">
        <v>197202700358</v>
      </c>
    </row>
    <row r="567" spans="1:10" thickTop="1" thickBot="1" x14ac:dyDescent="0.6">
      <c r="A567" s="15">
        <v>566</v>
      </c>
      <c r="B567" s="16">
        <v>1150752</v>
      </c>
      <c r="C567" s="4" t="s">
        <v>860</v>
      </c>
      <c r="D567" s="25" t="s">
        <v>861</v>
      </c>
      <c r="E567" s="25" t="s">
        <v>43</v>
      </c>
      <c r="F567" s="4" t="s">
        <v>862</v>
      </c>
      <c r="G567" s="4">
        <v>138340</v>
      </c>
      <c r="H567" s="26">
        <v>1</v>
      </c>
      <c r="I567" s="28">
        <v>45497</v>
      </c>
      <c r="J567" s="27">
        <v>197928202134</v>
      </c>
    </row>
    <row r="568" spans="1:10" thickTop="1" thickBot="1" x14ac:dyDescent="0.6">
      <c r="A568" s="15">
        <v>567</v>
      </c>
      <c r="I568" s="28"/>
    </row>
    <row r="569" spans="1:10" thickTop="1" thickBot="1" x14ac:dyDescent="0.6">
      <c r="A569" s="15">
        <v>568</v>
      </c>
      <c r="B569" s="16">
        <v>1150868</v>
      </c>
      <c r="C569" s="4" t="s">
        <v>864</v>
      </c>
      <c r="D569" s="25" t="s">
        <v>456</v>
      </c>
      <c r="E569" s="25" t="s">
        <v>6</v>
      </c>
      <c r="F569" s="4">
        <v>767350350</v>
      </c>
      <c r="G569" s="4">
        <v>291685</v>
      </c>
      <c r="H569" s="26">
        <v>1</v>
      </c>
      <c r="I569" s="28">
        <v>45569</v>
      </c>
      <c r="J569" s="27" t="s">
        <v>865</v>
      </c>
    </row>
    <row r="570" spans="1:10" thickTop="1" thickBot="1" x14ac:dyDescent="0.6">
      <c r="A570" s="15">
        <v>569</v>
      </c>
      <c r="B570" s="16">
        <v>1150475</v>
      </c>
      <c r="C570" s="4" t="s">
        <v>866</v>
      </c>
      <c r="D570" s="25" t="s">
        <v>867</v>
      </c>
      <c r="E570" s="25" t="s">
        <v>50</v>
      </c>
      <c r="F570" s="4">
        <v>719273075</v>
      </c>
      <c r="G570" s="4" t="str">
        <f>"0"&amp;70485</f>
        <v>070485</v>
      </c>
      <c r="H570" s="26">
        <v>1</v>
      </c>
      <c r="I570" s="28">
        <v>45094</v>
      </c>
    </row>
    <row r="571" spans="1:10" thickTop="1" thickBot="1" x14ac:dyDescent="0.6">
      <c r="A571" s="15">
        <v>570</v>
      </c>
      <c r="B571" s="16">
        <v>1150521</v>
      </c>
      <c r="C571" s="4" t="s">
        <v>868</v>
      </c>
      <c r="D571" s="25" t="s">
        <v>656</v>
      </c>
      <c r="E571" s="25" t="s">
        <v>24</v>
      </c>
      <c r="F571" s="4">
        <v>757749335</v>
      </c>
      <c r="G571" s="4" t="s">
        <v>869</v>
      </c>
      <c r="H571" s="26">
        <v>1</v>
      </c>
      <c r="I571" s="28">
        <v>45506</v>
      </c>
      <c r="J571" s="27" t="s">
        <v>870</v>
      </c>
    </row>
    <row r="572" spans="1:10" thickTop="1" thickBot="1" x14ac:dyDescent="0.6">
      <c r="A572" s="15">
        <v>571</v>
      </c>
      <c r="B572" s="16">
        <v>1151494</v>
      </c>
      <c r="C572" s="4" t="s">
        <v>3109</v>
      </c>
      <c r="D572" s="25" t="s">
        <v>3110</v>
      </c>
    </row>
    <row r="573" spans="1:10" thickTop="1" thickBot="1" x14ac:dyDescent="0.6">
      <c r="A573" s="15">
        <v>572</v>
      </c>
    </row>
    <row r="574" spans="1:10" thickTop="1" thickBot="1" x14ac:dyDescent="0.6">
      <c r="A574" s="15">
        <v>573</v>
      </c>
    </row>
    <row r="575" spans="1:10" thickTop="1" thickBot="1" x14ac:dyDescent="0.6">
      <c r="A575" s="15">
        <v>574</v>
      </c>
      <c r="B575" s="16">
        <v>1150289</v>
      </c>
      <c r="C575" s="4" t="s">
        <v>871</v>
      </c>
      <c r="D575" s="25" t="s">
        <v>700</v>
      </c>
      <c r="E575" s="25" t="s">
        <v>238</v>
      </c>
      <c r="F575" s="4">
        <v>770101551</v>
      </c>
      <c r="G575" s="4">
        <v>115900</v>
      </c>
      <c r="H575" s="26">
        <v>1</v>
      </c>
      <c r="I575" s="28"/>
      <c r="J575" s="27" t="s">
        <v>872</v>
      </c>
    </row>
    <row r="576" spans="1:10" thickTop="1" thickBot="1" x14ac:dyDescent="0.6">
      <c r="A576" s="15">
        <v>575</v>
      </c>
      <c r="B576" s="16">
        <v>1151445</v>
      </c>
      <c r="C576" s="4" t="s">
        <v>2881</v>
      </c>
      <c r="D576" s="25" t="s">
        <v>288</v>
      </c>
      <c r="E576" s="25" t="s">
        <v>125</v>
      </c>
      <c r="F576" s="4" t="s">
        <v>2882</v>
      </c>
      <c r="G576" s="4">
        <v>511066</v>
      </c>
      <c r="H576" s="26">
        <v>1</v>
      </c>
      <c r="I576" s="28">
        <v>45742</v>
      </c>
      <c r="J576" s="27" t="s">
        <v>2883</v>
      </c>
    </row>
    <row r="577" spans="1:10" thickTop="1" thickBot="1" x14ac:dyDescent="0.6">
      <c r="A577" s="15">
        <v>576</v>
      </c>
    </row>
    <row r="578" spans="1:10" thickTop="1" thickBot="1" x14ac:dyDescent="0.6">
      <c r="A578" s="15">
        <v>577</v>
      </c>
    </row>
    <row r="579" spans="1:10" thickTop="1" thickBot="1" x14ac:dyDescent="0.6">
      <c r="A579" s="15">
        <v>578</v>
      </c>
    </row>
    <row r="580" spans="1:10" thickTop="1" thickBot="1" x14ac:dyDescent="0.6">
      <c r="A580" s="15">
        <v>579</v>
      </c>
      <c r="B580" s="16">
        <v>1151116</v>
      </c>
      <c r="C580" s="4" t="s">
        <v>873</v>
      </c>
      <c r="D580" s="25" t="s">
        <v>874</v>
      </c>
      <c r="E580" s="25" t="s">
        <v>57</v>
      </c>
      <c r="F580" s="4" t="s">
        <v>875</v>
      </c>
      <c r="G580" s="4">
        <v>373624</v>
      </c>
      <c r="H580" s="26">
        <v>1</v>
      </c>
      <c r="I580" s="28">
        <v>45604</v>
      </c>
      <c r="J580" s="27" t="s">
        <v>876</v>
      </c>
    </row>
    <row r="581" spans="1:10" thickTop="1" thickBot="1" x14ac:dyDescent="0.6">
      <c r="A581" s="15">
        <v>580</v>
      </c>
      <c r="B581" s="16">
        <v>1150252</v>
      </c>
      <c r="C581" s="4" t="s">
        <v>877</v>
      </c>
      <c r="E581" s="25" t="s">
        <v>23</v>
      </c>
      <c r="F581" s="4">
        <v>777222098</v>
      </c>
      <c r="G581" s="4" t="s">
        <v>878</v>
      </c>
      <c r="H581" s="26">
        <v>2</v>
      </c>
      <c r="I581" s="28">
        <v>44417</v>
      </c>
      <c r="J581" s="27" t="s">
        <v>879</v>
      </c>
    </row>
    <row r="582" spans="1:10" thickTop="1" thickBot="1" x14ac:dyDescent="0.6">
      <c r="A582" s="15">
        <v>581</v>
      </c>
      <c r="B582" s="16">
        <v>1150253</v>
      </c>
      <c r="C582" s="4" t="s">
        <v>880</v>
      </c>
      <c r="E582" s="25" t="s">
        <v>238</v>
      </c>
      <c r="F582" s="4">
        <v>771951485</v>
      </c>
      <c r="G582" s="4">
        <v>513916</v>
      </c>
      <c r="H582" s="26">
        <v>1</v>
      </c>
      <c r="J582" s="27" t="s">
        <v>881</v>
      </c>
    </row>
    <row r="583" spans="1:10" thickTop="1" thickBot="1" x14ac:dyDescent="0.6">
      <c r="A583" s="15">
        <v>582</v>
      </c>
      <c r="B583" s="16">
        <v>1150254</v>
      </c>
      <c r="C583" s="4" t="s">
        <v>882</v>
      </c>
      <c r="D583" s="25" t="s">
        <v>883</v>
      </c>
      <c r="E583" s="25" t="s">
        <v>78</v>
      </c>
      <c r="F583" s="4" t="s">
        <v>884</v>
      </c>
      <c r="G583" s="4">
        <v>314042</v>
      </c>
      <c r="H583" s="26">
        <v>1</v>
      </c>
      <c r="I583" s="28">
        <v>44422</v>
      </c>
      <c r="J583" s="27" t="s">
        <v>885</v>
      </c>
    </row>
    <row r="584" spans="1:10" thickTop="1" thickBot="1" x14ac:dyDescent="0.6">
      <c r="A584" s="15">
        <v>583</v>
      </c>
      <c r="B584" s="16">
        <v>1150255</v>
      </c>
      <c r="C584" s="4" t="s">
        <v>886</v>
      </c>
      <c r="E584" s="25" t="s">
        <v>43</v>
      </c>
      <c r="F584" s="4">
        <v>777749975</v>
      </c>
      <c r="G584" s="4">
        <v>278163</v>
      </c>
      <c r="H584" s="26">
        <v>1</v>
      </c>
      <c r="I584" s="28">
        <v>44426</v>
      </c>
      <c r="J584" s="27" t="s">
        <v>887</v>
      </c>
    </row>
    <row r="585" spans="1:10" thickTop="1" thickBot="1" x14ac:dyDescent="0.6">
      <c r="A585" s="15">
        <v>584</v>
      </c>
      <c r="B585" s="16">
        <v>1150714</v>
      </c>
      <c r="C585" s="4" t="s">
        <v>888</v>
      </c>
      <c r="E585" s="25" t="s">
        <v>52</v>
      </c>
      <c r="F585" s="4">
        <v>763910040</v>
      </c>
      <c r="G585" s="4">
        <v>102700</v>
      </c>
      <c r="H585" s="26">
        <v>1</v>
      </c>
      <c r="I585" s="28" t="s">
        <v>889</v>
      </c>
      <c r="J585" s="27" t="s">
        <v>890</v>
      </c>
    </row>
    <row r="586" spans="1:10" thickTop="1" thickBot="1" x14ac:dyDescent="0.6">
      <c r="A586" s="15">
        <v>585</v>
      </c>
      <c r="B586" s="16">
        <v>1150366</v>
      </c>
      <c r="C586" s="4" t="s">
        <v>891</v>
      </c>
      <c r="E586" s="25" t="s">
        <v>12</v>
      </c>
      <c r="F586" s="4">
        <v>512222554</v>
      </c>
      <c r="G586" s="4">
        <v>106208</v>
      </c>
      <c r="H586" s="26">
        <v>1</v>
      </c>
    </row>
    <row r="587" spans="1:10" thickTop="1" thickBot="1" x14ac:dyDescent="0.6">
      <c r="A587" s="15">
        <v>586</v>
      </c>
      <c r="B587" s="16">
        <v>1150428</v>
      </c>
      <c r="C587" s="4" t="s">
        <v>892</v>
      </c>
      <c r="D587" s="25" t="s">
        <v>893</v>
      </c>
      <c r="E587" s="25" t="s">
        <v>95</v>
      </c>
      <c r="F587" s="4">
        <v>777769046</v>
      </c>
      <c r="G587" s="4">
        <v>124506</v>
      </c>
      <c r="H587" s="26">
        <v>1</v>
      </c>
      <c r="I587" s="28">
        <v>44976</v>
      </c>
      <c r="J587" s="27" t="s">
        <v>894</v>
      </c>
    </row>
    <row r="588" spans="1:10" thickTop="1" thickBot="1" x14ac:dyDescent="0.6">
      <c r="A588" s="15">
        <v>587</v>
      </c>
      <c r="B588" s="16">
        <v>1151359</v>
      </c>
      <c r="C588" s="4" t="s">
        <v>2688</v>
      </c>
      <c r="E588" s="25" t="s">
        <v>95</v>
      </c>
      <c r="F588" s="4">
        <v>777446242</v>
      </c>
      <c r="G588" s="4">
        <v>661028</v>
      </c>
      <c r="H588" s="26">
        <v>1</v>
      </c>
      <c r="I588" s="28">
        <v>45687</v>
      </c>
      <c r="J588" s="27" t="s">
        <v>2689</v>
      </c>
    </row>
    <row r="589" spans="1:10" thickTop="1" thickBot="1" x14ac:dyDescent="0.6">
      <c r="A589" s="15">
        <v>588</v>
      </c>
    </row>
    <row r="590" spans="1:10" thickTop="1" thickBot="1" x14ac:dyDescent="0.6">
      <c r="A590" s="15">
        <v>589</v>
      </c>
      <c r="B590" s="16">
        <v>1150485</v>
      </c>
      <c r="C590" s="4" t="s">
        <v>895</v>
      </c>
      <c r="D590" s="25" t="s">
        <v>896</v>
      </c>
      <c r="E590" s="25" t="s">
        <v>50</v>
      </c>
      <c r="F590" s="4">
        <v>714406465</v>
      </c>
      <c r="G590" s="4">
        <v>145881</v>
      </c>
      <c r="H590" s="26">
        <v>1</v>
      </c>
      <c r="I590" s="28">
        <v>45109</v>
      </c>
      <c r="J590" s="27" t="s">
        <v>897</v>
      </c>
    </row>
    <row r="591" spans="1:10" thickTop="1" thickBot="1" x14ac:dyDescent="0.6">
      <c r="A591" s="15">
        <v>590</v>
      </c>
      <c r="B591" s="16">
        <v>1150263</v>
      </c>
      <c r="C591" s="4" t="s">
        <v>2993</v>
      </c>
      <c r="D591" s="25" t="s">
        <v>898</v>
      </c>
      <c r="E591" s="25" t="s">
        <v>57</v>
      </c>
      <c r="F591" s="4">
        <v>776542203</v>
      </c>
      <c r="G591" s="4" t="s">
        <v>3426</v>
      </c>
      <c r="H591" s="26">
        <v>2</v>
      </c>
      <c r="I591" s="28">
        <v>44442</v>
      </c>
      <c r="J591" s="27" t="s">
        <v>899</v>
      </c>
    </row>
    <row r="592" spans="1:10" thickTop="1" thickBot="1" x14ac:dyDescent="0.6">
      <c r="A592" s="15">
        <v>591</v>
      </c>
      <c r="B592" s="16">
        <v>1150153</v>
      </c>
      <c r="C592" s="4" t="s">
        <v>900</v>
      </c>
      <c r="D592" s="25" t="s">
        <v>901</v>
      </c>
      <c r="E592" s="25" t="s">
        <v>12</v>
      </c>
      <c r="F592" s="4">
        <v>714189496</v>
      </c>
      <c r="G592" s="4">
        <v>145204</v>
      </c>
      <c r="H592" s="26">
        <v>1</v>
      </c>
      <c r="I592" s="28">
        <v>45509</v>
      </c>
      <c r="J592" s="27" t="s">
        <v>902</v>
      </c>
    </row>
    <row r="593" spans="1:10" thickTop="1" thickBot="1" x14ac:dyDescent="0.6">
      <c r="A593" s="15">
        <v>592</v>
      </c>
      <c r="I593" s="28"/>
    </row>
    <row r="594" spans="1:10" thickTop="1" thickBot="1" x14ac:dyDescent="0.6">
      <c r="A594" s="15">
        <v>593</v>
      </c>
      <c r="I594" s="28"/>
    </row>
    <row r="595" spans="1:10" thickTop="1" thickBot="1" x14ac:dyDescent="0.6">
      <c r="A595" s="15">
        <v>594</v>
      </c>
      <c r="B595" s="16">
        <v>1150777</v>
      </c>
      <c r="C595" s="4" t="s">
        <v>904</v>
      </c>
      <c r="D595" s="25" t="s">
        <v>905</v>
      </c>
      <c r="E595" s="25" t="s">
        <v>238</v>
      </c>
      <c r="F595" s="4">
        <v>768932271</v>
      </c>
      <c r="G595" s="4">
        <v>138068</v>
      </c>
      <c r="H595" s="26">
        <v>1</v>
      </c>
      <c r="I595" s="28">
        <v>45523</v>
      </c>
      <c r="J595" s="27" t="s">
        <v>906</v>
      </c>
    </row>
    <row r="596" spans="1:10" thickTop="1" thickBot="1" x14ac:dyDescent="0.6">
      <c r="A596" s="15">
        <v>595</v>
      </c>
      <c r="B596" s="16">
        <v>1151266</v>
      </c>
      <c r="C596" s="4" t="s">
        <v>907</v>
      </c>
      <c r="D596" s="25" t="s">
        <v>908</v>
      </c>
      <c r="E596" s="25" t="s">
        <v>23</v>
      </c>
      <c r="F596" s="4">
        <v>710579989</v>
      </c>
      <c r="G596" s="4">
        <v>311699</v>
      </c>
      <c r="H596" s="26">
        <v>1</v>
      </c>
      <c r="I596" s="28">
        <v>45610</v>
      </c>
      <c r="J596" s="27">
        <v>196234730775</v>
      </c>
    </row>
    <row r="597" spans="1:10" thickTop="1" thickBot="1" x14ac:dyDescent="0.6">
      <c r="A597" s="15">
        <v>596</v>
      </c>
    </row>
    <row r="598" spans="1:10" thickTop="1" thickBot="1" x14ac:dyDescent="0.6">
      <c r="A598" s="15">
        <v>597</v>
      </c>
      <c r="B598" s="16">
        <v>1150533</v>
      </c>
      <c r="C598" s="4" t="s">
        <v>909</v>
      </c>
      <c r="D598" s="25" t="s">
        <v>910</v>
      </c>
      <c r="E598" s="25" t="s">
        <v>17</v>
      </c>
      <c r="F598" s="4">
        <v>711110902</v>
      </c>
      <c r="G598" s="4">
        <v>155286</v>
      </c>
      <c r="H598" s="26">
        <v>1</v>
      </c>
      <c r="I598" s="28">
        <v>45178</v>
      </c>
      <c r="J598" s="27" t="s">
        <v>911</v>
      </c>
    </row>
    <row r="599" spans="1:10" thickTop="1" thickBot="1" x14ac:dyDescent="0.6">
      <c r="A599" s="15">
        <v>598</v>
      </c>
      <c r="B599" s="16">
        <v>1150281</v>
      </c>
      <c r="C599" s="4" t="s">
        <v>912</v>
      </c>
      <c r="D599" s="25" t="s">
        <v>913</v>
      </c>
      <c r="E599" s="25" t="s">
        <v>50</v>
      </c>
      <c r="F599" s="4" t="s">
        <v>2840</v>
      </c>
      <c r="G599" s="4">
        <v>284377</v>
      </c>
      <c r="H599" s="26">
        <v>1</v>
      </c>
      <c r="I599" s="28">
        <v>44472</v>
      </c>
      <c r="J599" s="27" t="s">
        <v>914</v>
      </c>
    </row>
    <row r="600" spans="1:10" thickTop="1" thickBot="1" x14ac:dyDescent="0.6">
      <c r="A600" s="15">
        <v>599</v>
      </c>
    </row>
    <row r="601" spans="1:10" thickTop="1" thickBot="1" x14ac:dyDescent="0.6">
      <c r="A601" s="15">
        <v>600</v>
      </c>
      <c r="B601" s="16">
        <v>1150776</v>
      </c>
      <c r="C601" s="4" t="s">
        <v>915</v>
      </c>
      <c r="D601" s="25" t="s">
        <v>545</v>
      </c>
      <c r="E601" s="25" t="s">
        <v>57</v>
      </c>
      <c r="F601" s="4">
        <v>777103640</v>
      </c>
      <c r="G601" s="4">
        <v>111396</v>
      </c>
      <c r="H601" s="26">
        <v>1</v>
      </c>
      <c r="I601" s="28">
        <v>45523</v>
      </c>
      <c r="J601" s="27" t="s">
        <v>916</v>
      </c>
    </row>
    <row r="602" spans="1:10" thickTop="1" thickBot="1" x14ac:dyDescent="0.6">
      <c r="A602" s="15">
        <v>601</v>
      </c>
      <c r="B602" s="16">
        <v>1150290</v>
      </c>
      <c r="C602" s="4" t="s">
        <v>917</v>
      </c>
      <c r="D602" s="25" t="s">
        <v>918</v>
      </c>
      <c r="E602" s="25" t="s">
        <v>78</v>
      </c>
      <c r="F602" s="4">
        <v>778588557</v>
      </c>
      <c r="G602" s="4">
        <v>607296</v>
      </c>
      <c r="H602" s="26">
        <v>1</v>
      </c>
      <c r="I602" s="28">
        <v>44484</v>
      </c>
      <c r="J602" s="27" t="s">
        <v>919</v>
      </c>
    </row>
    <row r="603" spans="1:10" thickTop="1" thickBot="1" x14ac:dyDescent="0.6">
      <c r="A603" s="15">
        <v>602</v>
      </c>
    </row>
    <row r="604" spans="1:10" thickTop="1" thickBot="1" x14ac:dyDescent="0.6">
      <c r="A604" s="15">
        <v>603</v>
      </c>
    </row>
    <row r="605" spans="1:10" thickTop="1" thickBot="1" x14ac:dyDescent="0.6">
      <c r="A605" s="15">
        <v>604</v>
      </c>
      <c r="B605" s="16">
        <v>1151081</v>
      </c>
      <c r="C605" s="4" t="s">
        <v>921</v>
      </c>
      <c r="D605" s="25" t="s">
        <v>922</v>
      </c>
      <c r="E605" s="25" t="s">
        <v>23</v>
      </c>
      <c r="F605" s="4">
        <v>778844573</v>
      </c>
      <c r="G605" s="4">
        <v>355431</v>
      </c>
      <c r="H605" s="26">
        <v>1</v>
      </c>
      <c r="I605" s="28">
        <v>45602</v>
      </c>
      <c r="J605" s="27" t="s">
        <v>923</v>
      </c>
    </row>
    <row r="606" spans="1:10" thickTop="1" thickBot="1" x14ac:dyDescent="0.6">
      <c r="A606" s="15">
        <v>605</v>
      </c>
      <c r="B606" s="16">
        <v>1150270</v>
      </c>
      <c r="C606" s="4" t="s">
        <v>924</v>
      </c>
      <c r="D606" s="25" t="s">
        <v>925</v>
      </c>
      <c r="E606" s="25" t="s">
        <v>78</v>
      </c>
      <c r="F606" s="4">
        <v>777283338</v>
      </c>
      <c r="G606" s="4" t="str">
        <f>"0"&amp;89040</f>
        <v>089040</v>
      </c>
      <c r="H606" s="26">
        <v>1</v>
      </c>
      <c r="I606" s="28">
        <v>44455</v>
      </c>
      <c r="J606" s="27" t="s">
        <v>926</v>
      </c>
    </row>
    <row r="607" spans="1:10" thickTop="1" thickBot="1" x14ac:dyDescent="0.6">
      <c r="A607" s="15">
        <v>606</v>
      </c>
      <c r="B607" s="16">
        <v>1150277</v>
      </c>
      <c r="C607" s="4" t="s">
        <v>927</v>
      </c>
      <c r="D607" s="25" t="s">
        <v>928</v>
      </c>
      <c r="E607" s="25" t="s">
        <v>161</v>
      </c>
      <c r="F607" s="4" t="s">
        <v>929</v>
      </c>
      <c r="G607" s="4">
        <v>712618</v>
      </c>
      <c r="H607" s="26">
        <v>1</v>
      </c>
      <c r="I607" s="28">
        <v>44457</v>
      </c>
      <c r="J607" s="27" t="s">
        <v>930</v>
      </c>
    </row>
    <row r="608" spans="1:10" thickTop="1" thickBot="1" x14ac:dyDescent="0.6">
      <c r="A608" s="15">
        <v>607</v>
      </c>
      <c r="B608" s="16">
        <v>1150276</v>
      </c>
      <c r="C608" s="4" t="s">
        <v>931</v>
      </c>
      <c r="D608" s="25" t="s">
        <v>932</v>
      </c>
      <c r="E608" s="25" t="s">
        <v>50</v>
      </c>
      <c r="F608" s="4">
        <v>772632202</v>
      </c>
      <c r="G608" s="4" t="s">
        <v>2686</v>
      </c>
      <c r="H608" s="26">
        <v>2</v>
      </c>
      <c r="I608" s="28">
        <v>44457</v>
      </c>
      <c r="J608" s="27" t="s">
        <v>933</v>
      </c>
    </row>
    <row r="609" spans="1:10" thickTop="1" thickBot="1" x14ac:dyDescent="0.6">
      <c r="A609" s="15">
        <v>608</v>
      </c>
      <c r="B609" s="16">
        <v>1150275</v>
      </c>
      <c r="C609" s="4" t="s">
        <v>934</v>
      </c>
      <c r="D609" s="25" t="s">
        <v>935</v>
      </c>
      <c r="E609" s="25" t="s">
        <v>50</v>
      </c>
      <c r="F609" s="4">
        <v>773250803</v>
      </c>
      <c r="G609" s="4" t="s">
        <v>936</v>
      </c>
      <c r="H609" s="26">
        <v>2</v>
      </c>
      <c r="I609" s="28">
        <v>44457</v>
      </c>
      <c r="J609" s="27">
        <v>197968203585</v>
      </c>
    </row>
    <row r="610" spans="1:10" thickTop="1" thickBot="1" x14ac:dyDescent="0.6">
      <c r="A610" s="15">
        <v>609</v>
      </c>
      <c r="I610" s="28"/>
    </row>
    <row r="611" spans="1:10" thickTop="1" thickBot="1" x14ac:dyDescent="0.6">
      <c r="A611" s="15">
        <v>610</v>
      </c>
      <c r="I611" s="28"/>
    </row>
    <row r="612" spans="1:10" thickTop="1" thickBot="1" x14ac:dyDescent="0.6">
      <c r="A612" s="15">
        <v>611</v>
      </c>
    </row>
    <row r="613" spans="1:10" thickTop="1" thickBot="1" x14ac:dyDescent="0.6">
      <c r="A613" s="15">
        <v>612</v>
      </c>
      <c r="B613" s="16">
        <v>1150297</v>
      </c>
      <c r="C613" s="4" t="s">
        <v>937</v>
      </c>
      <c r="D613" s="25" t="s">
        <v>267</v>
      </c>
      <c r="E613" s="25" t="s">
        <v>43</v>
      </c>
      <c r="F613" s="4">
        <v>775956777</v>
      </c>
      <c r="G613" s="4">
        <v>567862</v>
      </c>
      <c r="H613" s="26">
        <v>1</v>
      </c>
      <c r="I613" s="28">
        <v>44496</v>
      </c>
      <c r="J613" s="27" t="s">
        <v>938</v>
      </c>
    </row>
    <row r="614" spans="1:10" thickTop="1" thickBot="1" x14ac:dyDescent="0.6">
      <c r="A614" s="15">
        <v>613</v>
      </c>
      <c r="B614" s="16">
        <v>1150553</v>
      </c>
      <c r="C614" s="4" t="s">
        <v>939</v>
      </c>
      <c r="D614" s="25" t="s">
        <v>940</v>
      </c>
      <c r="E614" s="25" t="s">
        <v>6</v>
      </c>
      <c r="F614" s="4" t="s">
        <v>941</v>
      </c>
      <c r="G614" s="4">
        <v>154560</v>
      </c>
      <c r="H614" s="26">
        <v>1</v>
      </c>
      <c r="I614" s="28">
        <v>45278</v>
      </c>
      <c r="J614" s="27" t="s">
        <v>942</v>
      </c>
    </row>
    <row r="615" spans="1:10" thickTop="1" thickBot="1" x14ac:dyDescent="0.6">
      <c r="A615" s="15">
        <v>614</v>
      </c>
    </row>
    <row r="616" spans="1:10" thickTop="1" thickBot="1" x14ac:dyDescent="0.6">
      <c r="A616" s="15">
        <v>615</v>
      </c>
      <c r="I616" s="28"/>
    </row>
    <row r="617" spans="1:10" thickTop="1" thickBot="1" x14ac:dyDescent="0.6">
      <c r="A617" s="15">
        <v>616</v>
      </c>
      <c r="B617" s="16">
        <v>1150515</v>
      </c>
      <c r="C617" s="4" t="s">
        <v>943</v>
      </c>
      <c r="D617" s="25" t="s">
        <v>944</v>
      </c>
      <c r="E617" s="25" t="s">
        <v>12</v>
      </c>
      <c r="F617" s="4">
        <v>777519188</v>
      </c>
      <c r="G617" s="4">
        <v>157886</v>
      </c>
      <c r="H617" s="26">
        <v>1</v>
      </c>
      <c r="I617" s="28">
        <v>45225</v>
      </c>
      <c r="J617" s="27" t="s">
        <v>945</v>
      </c>
    </row>
    <row r="618" spans="1:10" thickTop="1" thickBot="1" x14ac:dyDescent="0.6">
      <c r="A618" s="15">
        <v>617</v>
      </c>
      <c r="B618" s="16">
        <v>1150302</v>
      </c>
      <c r="C618" s="4" t="s">
        <v>946</v>
      </c>
      <c r="D618" s="25" t="s">
        <v>947</v>
      </c>
      <c r="E618" s="25" t="s">
        <v>238</v>
      </c>
      <c r="F618" s="4" t="s">
        <v>948</v>
      </c>
      <c r="G618" s="4">
        <v>809273</v>
      </c>
      <c r="H618" s="26">
        <v>1</v>
      </c>
      <c r="I618" s="28">
        <v>44513</v>
      </c>
      <c r="J618" s="27" t="s">
        <v>949</v>
      </c>
    </row>
    <row r="619" spans="1:10" thickTop="1" thickBot="1" x14ac:dyDescent="0.6">
      <c r="A619" s="15">
        <v>618</v>
      </c>
      <c r="B619" s="16">
        <v>1150304</v>
      </c>
      <c r="C619" s="4" t="s">
        <v>26</v>
      </c>
      <c r="D619" s="25" t="s">
        <v>950</v>
      </c>
      <c r="E619" s="25" t="s">
        <v>24</v>
      </c>
      <c r="F619" s="4" t="s">
        <v>951</v>
      </c>
      <c r="G619" s="4">
        <v>691119</v>
      </c>
      <c r="H619" s="26">
        <v>1</v>
      </c>
      <c r="I619" s="28">
        <v>44517</v>
      </c>
      <c r="J619" s="27" t="s">
        <v>952</v>
      </c>
    </row>
    <row r="620" spans="1:10" thickTop="1" thickBot="1" x14ac:dyDescent="0.6">
      <c r="A620" s="15">
        <v>619</v>
      </c>
      <c r="B620" s="16">
        <v>1150508</v>
      </c>
      <c r="C620" s="4" t="s">
        <v>953</v>
      </c>
      <c r="D620" s="25" t="s">
        <v>954</v>
      </c>
      <c r="E620" s="25" t="s">
        <v>50</v>
      </c>
      <c r="F620" s="4">
        <v>778185609</v>
      </c>
      <c r="G620" s="4" t="str">
        <f>"0"&amp;92349</f>
        <v>092349</v>
      </c>
      <c r="H620" s="26">
        <v>1</v>
      </c>
      <c r="I620" s="28">
        <v>45180</v>
      </c>
      <c r="J620" s="27" t="s">
        <v>955</v>
      </c>
    </row>
    <row r="621" spans="1:10" thickTop="1" thickBot="1" x14ac:dyDescent="0.6">
      <c r="A621" s="15">
        <v>620</v>
      </c>
      <c r="B621" s="16">
        <v>1150305</v>
      </c>
      <c r="C621" s="4" t="s">
        <v>956</v>
      </c>
      <c r="D621" s="25" t="s">
        <v>957</v>
      </c>
      <c r="E621" s="25" t="s">
        <v>57</v>
      </c>
      <c r="F621" s="4">
        <v>773305706</v>
      </c>
      <c r="G621" s="4">
        <v>633178</v>
      </c>
      <c r="H621" s="26">
        <v>1</v>
      </c>
      <c r="I621" s="28">
        <v>44513</v>
      </c>
      <c r="J621" s="27" t="s">
        <v>958</v>
      </c>
    </row>
    <row r="622" spans="1:10" thickTop="1" thickBot="1" x14ac:dyDescent="0.6">
      <c r="A622" s="15">
        <v>621</v>
      </c>
      <c r="B622" s="17">
        <v>1150853</v>
      </c>
      <c r="C622" s="4" t="s">
        <v>959</v>
      </c>
      <c r="D622" s="25" t="s">
        <v>960</v>
      </c>
      <c r="E622" s="25" t="s">
        <v>50</v>
      </c>
      <c r="F622" s="4" t="s">
        <v>961</v>
      </c>
      <c r="G622" s="4">
        <v>207145</v>
      </c>
      <c r="H622" s="26">
        <v>1</v>
      </c>
      <c r="I622" s="28">
        <v>45564</v>
      </c>
      <c r="J622" s="27" t="s">
        <v>962</v>
      </c>
    </row>
    <row r="623" spans="1:10" thickTop="1" thickBot="1" x14ac:dyDescent="0.6">
      <c r="A623" s="15">
        <v>622</v>
      </c>
      <c r="B623" s="17">
        <v>1150570</v>
      </c>
      <c r="C623" s="4" t="s">
        <v>963</v>
      </c>
      <c r="D623" s="25" t="s">
        <v>964</v>
      </c>
      <c r="E623" s="25" t="s">
        <v>43</v>
      </c>
      <c r="F623" s="4">
        <v>774399421</v>
      </c>
      <c r="G623" s="4">
        <v>125552</v>
      </c>
      <c r="H623" s="26">
        <v>1</v>
      </c>
      <c r="I623" s="28">
        <v>45513</v>
      </c>
      <c r="J623" s="27" t="s">
        <v>965</v>
      </c>
    </row>
    <row r="624" spans="1:10" thickTop="1" thickBot="1" x14ac:dyDescent="0.6">
      <c r="A624" s="15">
        <v>623</v>
      </c>
      <c r="C624" s="4" t="s">
        <v>966</v>
      </c>
      <c r="D624" s="25" t="s">
        <v>967</v>
      </c>
      <c r="E624" s="25" t="s">
        <v>12</v>
      </c>
      <c r="F624" s="4">
        <v>777598380</v>
      </c>
      <c r="H624" s="26">
        <v>1</v>
      </c>
      <c r="I624" s="28">
        <v>44523</v>
      </c>
      <c r="J624" s="27" t="s">
        <v>968</v>
      </c>
    </row>
    <row r="625" spans="1:10" thickTop="1" thickBot="1" x14ac:dyDescent="0.6">
      <c r="A625" s="15">
        <v>624</v>
      </c>
      <c r="B625" s="17">
        <v>1150782</v>
      </c>
      <c r="C625" s="4" t="s">
        <v>969</v>
      </c>
      <c r="D625" s="25" t="s">
        <v>970</v>
      </c>
      <c r="E625" s="25" t="s">
        <v>249</v>
      </c>
      <c r="F625" s="4">
        <v>778914934</v>
      </c>
      <c r="G625" s="4">
        <v>139330</v>
      </c>
      <c r="H625" s="26">
        <v>1</v>
      </c>
      <c r="I625" s="28">
        <v>45525</v>
      </c>
      <c r="J625" s="27">
        <v>199818310280</v>
      </c>
    </row>
    <row r="626" spans="1:10" thickTop="1" thickBot="1" x14ac:dyDescent="0.6">
      <c r="A626" s="15">
        <v>625</v>
      </c>
      <c r="B626" s="17">
        <v>1150310</v>
      </c>
      <c r="C626" s="4" t="s">
        <v>971</v>
      </c>
      <c r="E626" s="25" t="s">
        <v>63</v>
      </c>
      <c r="F626" s="4" t="s">
        <v>972</v>
      </c>
      <c r="G626" s="4">
        <v>707436</v>
      </c>
      <c r="H626" s="26">
        <v>1</v>
      </c>
      <c r="I626" s="28">
        <v>44531</v>
      </c>
      <c r="J626" s="27">
        <v>197884401614</v>
      </c>
    </row>
    <row r="627" spans="1:10" thickTop="1" thickBot="1" x14ac:dyDescent="0.6">
      <c r="A627" s="15">
        <v>626</v>
      </c>
      <c r="I627" s="28"/>
    </row>
    <row r="628" spans="1:10" thickTop="1" thickBot="1" x14ac:dyDescent="0.6">
      <c r="A628" s="15">
        <v>627</v>
      </c>
      <c r="B628" s="17">
        <v>1150811</v>
      </c>
      <c r="C628" s="4" t="s">
        <v>973</v>
      </c>
      <c r="D628" s="25" t="s">
        <v>744</v>
      </c>
      <c r="E628" s="25" t="s">
        <v>6</v>
      </c>
      <c r="F628" s="4">
        <v>706616621</v>
      </c>
      <c r="G628" s="4">
        <v>120017</v>
      </c>
      <c r="H628" s="26">
        <v>1</v>
      </c>
      <c r="I628" s="28">
        <v>45534</v>
      </c>
      <c r="J628" s="27">
        <v>195915000600</v>
      </c>
    </row>
    <row r="629" spans="1:10" thickTop="1" thickBot="1" x14ac:dyDescent="0.6">
      <c r="A629" s="15">
        <v>628</v>
      </c>
      <c r="B629" s="17">
        <v>1150309</v>
      </c>
      <c r="C629" s="4" t="s">
        <v>974</v>
      </c>
      <c r="D629" s="25" t="s">
        <v>377</v>
      </c>
      <c r="E629" s="25" t="s">
        <v>78</v>
      </c>
      <c r="F629" s="4">
        <v>776760370</v>
      </c>
      <c r="G629" s="4">
        <v>252390</v>
      </c>
      <c r="H629" s="26">
        <v>1</v>
      </c>
      <c r="I629" s="28">
        <v>44528</v>
      </c>
      <c r="J629" s="27" t="s">
        <v>975</v>
      </c>
    </row>
    <row r="630" spans="1:10" thickTop="1" thickBot="1" x14ac:dyDescent="0.6">
      <c r="A630" s="15">
        <v>629</v>
      </c>
    </row>
    <row r="631" spans="1:10" thickTop="1" thickBot="1" x14ac:dyDescent="0.6">
      <c r="A631" s="15">
        <v>630</v>
      </c>
      <c r="I631" s="28"/>
    </row>
    <row r="632" spans="1:10" thickTop="1" thickBot="1" x14ac:dyDescent="0.6">
      <c r="A632" s="15">
        <v>631</v>
      </c>
      <c r="B632" s="16">
        <v>1150876</v>
      </c>
      <c r="C632" s="4" t="s">
        <v>976</v>
      </c>
      <c r="D632" s="25" t="s">
        <v>3328</v>
      </c>
      <c r="E632" s="25" t="s">
        <v>23</v>
      </c>
      <c r="F632" s="4" t="s">
        <v>977</v>
      </c>
      <c r="G632" s="4">
        <v>118086</v>
      </c>
      <c r="H632" s="26">
        <v>1</v>
      </c>
      <c r="I632" s="28">
        <v>45572</v>
      </c>
      <c r="J632" s="27" t="s">
        <v>978</v>
      </c>
    </row>
    <row r="633" spans="1:10" thickTop="1" thickBot="1" x14ac:dyDescent="0.6">
      <c r="A633" s="15">
        <v>632</v>
      </c>
    </row>
    <row r="634" spans="1:10" thickTop="1" thickBot="1" x14ac:dyDescent="0.6">
      <c r="A634" s="15">
        <v>633</v>
      </c>
    </row>
    <row r="635" spans="1:10" thickTop="1" thickBot="1" x14ac:dyDescent="0.6">
      <c r="A635" s="15">
        <v>634</v>
      </c>
      <c r="B635" s="16">
        <v>1150301</v>
      </c>
      <c r="C635" s="4" t="s">
        <v>979</v>
      </c>
      <c r="D635" s="25" t="s">
        <v>980</v>
      </c>
      <c r="E635" s="25" t="s">
        <v>43</v>
      </c>
      <c r="F635" s="4" t="s">
        <v>981</v>
      </c>
      <c r="G635" s="4">
        <v>599386</v>
      </c>
      <c r="H635" s="26">
        <v>1</v>
      </c>
      <c r="I635" s="28">
        <v>44545</v>
      </c>
      <c r="J635" s="27" t="s">
        <v>982</v>
      </c>
    </row>
    <row r="636" spans="1:10" thickTop="1" thickBot="1" x14ac:dyDescent="0.6">
      <c r="A636" s="15">
        <v>635</v>
      </c>
    </row>
    <row r="637" spans="1:10" thickTop="1" thickBot="1" x14ac:dyDescent="0.6">
      <c r="A637" s="15">
        <v>636</v>
      </c>
      <c r="B637" s="16">
        <v>1150400</v>
      </c>
      <c r="C637" s="4" t="s">
        <v>983</v>
      </c>
      <c r="D637" s="25" t="s">
        <v>984</v>
      </c>
      <c r="E637" s="25" t="s">
        <v>43</v>
      </c>
      <c r="F637" s="4">
        <v>777818608</v>
      </c>
      <c r="G637" s="4">
        <v>949004</v>
      </c>
      <c r="H637" s="26">
        <v>1</v>
      </c>
      <c r="I637" s="28">
        <v>44919</v>
      </c>
      <c r="J637" s="27" t="s">
        <v>985</v>
      </c>
    </row>
    <row r="638" spans="1:10" thickTop="1" thickBot="1" x14ac:dyDescent="0.6">
      <c r="A638" s="15">
        <v>637</v>
      </c>
      <c r="B638" s="16">
        <v>1150313</v>
      </c>
      <c r="C638" s="4" t="s">
        <v>986</v>
      </c>
      <c r="D638" s="25" t="s">
        <v>920</v>
      </c>
      <c r="E638" s="25" t="s">
        <v>23</v>
      </c>
      <c r="F638" s="4">
        <v>713473800</v>
      </c>
      <c r="G638" s="4">
        <v>229802</v>
      </c>
      <c r="H638" s="26">
        <v>1</v>
      </c>
      <c r="I638" s="28">
        <v>44551</v>
      </c>
      <c r="J638" s="27">
        <v>197232201404</v>
      </c>
    </row>
    <row r="639" spans="1:10" thickTop="1" thickBot="1" x14ac:dyDescent="0.6">
      <c r="A639" s="15">
        <v>638</v>
      </c>
      <c r="B639" s="16" t="s">
        <v>2921</v>
      </c>
      <c r="C639" s="4" t="s">
        <v>987</v>
      </c>
      <c r="D639" s="25" t="s">
        <v>67</v>
      </c>
      <c r="E639" s="25" t="s">
        <v>12</v>
      </c>
      <c r="F639" s="4">
        <v>762117462</v>
      </c>
      <c r="G639" s="4" t="s">
        <v>2858</v>
      </c>
      <c r="H639" s="26">
        <v>2</v>
      </c>
      <c r="I639" s="28">
        <v>44552</v>
      </c>
      <c r="J639" s="27" t="s">
        <v>988</v>
      </c>
    </row>
    <row r="640" spans="1:10" thickTop="1" thickBot="1" x14ac:dyDescent="0.6">
      <c r="A640" s="15">
        <v>639</v>
      </c>
      <c r="B640" s="16">
        <v>1150764</v>
      </c>
      <c r="C640" s="4" t="s">
        <v>2923</v>
      </c>
      <c r="D640" s="25" t="s">
        <v>989</v>
      </c>
      <c r="E640" s="25" t="s">
        <v>43</v>
      </c>
      <c r="F640" s="4">
        <v>711118114</v>
      </c>
      <c r="G640" s="4" t="str">
        <f>"0"&amp;48861</f>
        <v>048861</v>
      </c>
      <c r="H640" s="26">
        <v>1</v>
      </c>
      <c r="I640" s="28">
        <v>45514</v>
      </c>
    </row>
    <row r="641" spans="1:10" thickTop="1" thickBot="1" x14ac:dyDescent="0.6">
      <c r="A641" s="15">
        <v>640</v>
      </c>
      <c r="I641" s="28"/>
    </row>
    <row r="642" spans="1:10" thickTop="1" thickBot="1" x14ac:dyDescent="0.6">
      <c r="A642" s="15">
        <v>641</v>
      </c>
      <c r="B642" s="16">
        <v>1151096</v>
      </c>
      <c r="C642" s="4" t="s">
        <v>990</v>
      </c>
      <c r="D642" s="25" t="s">
        <v>991</v>
      </c>
      <c r="E642" s="25" t="s">
        <v>43</v>
      </c>
      <c r="F642" s="4">
        <v>776353296</v>
      </c>
      <c r="G642" s="4">
        <v>222193</v>
      </c>
      <c r="H642" s="26">
        <v>1</v>
      </c>
      <c r="I642" s="28">
        <v>45603</v>
      </c>
      <c r="J642" s="27">
        <v>197621402988</v>
      </c>
    </row>
    <row r="643" spans="1:10" thickTop="1" thickBot="1" x14ac:dyDescent="0.6">
      <c r="A643" s="15">
        <v>642</v>
      </c>
      <c r="B643" s="16">
        <v>1150416</v>
      </c>
      <c r="C643" s="4" t="s">
        <v>992</v>
      </c>
      <c r="D643" s="25" t="s">
        <v>993</v>
      </c>
      <c r="E643" s="25" t="s">
        <v>24</v>
      </c>
      <c r="F643" s="4">
        <v>767221446</v>
      </c>
      <c r="G643" s="4">
        <v>117179</v>
      </c>
      <c r="H643" s="26">
        <v>1</v>
      </c>
      <c r="I643" s="28">
        <v>44955</v>
      </c>
      <c r="J643" s="27" t="s">
        <v>994</v>
      </c>
    </row>
    <row r="644" spans="1:10" thickTop="1" thickBot="1" x14ac:dyDescent="0.6">
      <c r="A644" s="15">
        <v>643</v>
      </c>
      <c r="B644" s="16">
        <v>1150320</v>
      </c>
      <c r="C644" s="4" t="s">
        <v>995</v>
      </c>
      <c r="D644" s="25" t="s">
        <v>996</v>
      </c>
      <c r="E644" s="25" t="s">
        <v>78</v>
      </c>
      <c r="F644" s="4">
        <v>716572243</v>
      </c>
      <c r="G644" s="4">
        <v>978755</v>
      </c>
      <c r="H644" s="26">
        <v>1</v>
      </c>
      <c r="I644" s="28">
        <v>44563</v>
      </c>
      <c r="J644" s="27" t="s">
        <v>997</v>
      </c>
    </row>
    <row r="645" spans="1:10" thickTop="1" thickBot="1" x14ac:dyDescent="0.6">
      <c r="A645" s="15">
        <v>644</v>
      </c>
      <c r="B645" s="16">
        <v>1150584</v>
      </c>
      <c r="C645" s="4" t="s">
        <v>998</v>
      </c>
      <c r="D645" s="25" t="s">
        <v>2933</v>
      </c>
      <c r="E645" s="25" t="s">
        <v>78</v>
      </c>
      <c r="F645" s="4">
        <v>777845584</v>
      </c>
      <c r="G645" s="4">
        <v>138332</v>
      </c>
      <c r="H645" s="26">
        <v>1</v>
      </c>
      <c r="I645" s="28">
        <v>45292</v>
      </c>
      <c r="J645" s="27" t="s">
        <v>999</v>
      </c>
    </row>
    <row r="646" spans="1:10" thickTop="1" thickBot="1" x14ac:dyDescent="0.6">
      <c r="A646" s="15">
        <v>645</v>
      </c>
      <c r="B646" s="16">
        <v>1150317</v>
      </c>
      <c r="C646" s="4" t="s">
        <v>1000</v>
      </c>
      <c r="D646" s="25" t="s">
        <v>311</v>
      </c>
      <c r="E646" s="25" t="s">
        <v>78</v>
      </c>
      <c r="F646" s="4">
        <v>777563841</v>
      </c>
      <c r="G646" s="4">
        <v>735031</v>
      </c>
      <c r="H646" s="26">
        <v>1</v>
      </c>
      <c r="I646" s="28">
        <v>44564</v>
      </c>
      <c r="J646" s="27" t="s">
        <v>1001</v>
      </c>
    </row>
    <row r="647" spans="1:10" thickTop="1" thickBot="1" x14ac:dyDescent="0.6">
      <c r="A647" s="15">
        <v>646</v>
      </c>
      <c r="I647" s="28"/>
    </row>
    <row r="648" spans="1:10" thickTop="1" thickBot="1" x14ac:dyDescent="0.6">
      <c r="A648" s="15">
        <v>647</v>
      </c>
      <c r="B648" s="16">
        <v>1151022</v>
      </c>
      <c r="C648" s="4" t="s">
        <v>1002</v>
      </c>
      <c r="D648" s="25" t="s">
        <v>1003</v>
      </c>
      <c r="E648" s="25" t="s">
        <v>6</v>
      </c>
      <c r="F648" s="4" t="s">
        <v>1004</v>
      </c>
      <c r="G648" s="4">
        <v>440175</v>
      </c>
      <c r="H648" s="26">
        <v>1</v>
      </c>
      <c r="I648" s="28">
        <v>45593</v>
      </c>
      <c r="J648" s="27">
        <v>196370402300</v>
      </c>
    </row>
    <row r="649" spans="1:10" thickTop="1" thickBot="1" x14ac:dyDescent="0.6">
      <c r="A649" s="15">
        <v>648</v>
      </c>
      <c r="B649" s="16">
        <v>1150123</v>
      </c>
      <c r="C649" s="4" t="s">
        <v>1005</v>
      </c>
      <c r="D649" s="25" t="s">
        <v>1006</v>
      </c>
      <c r="E649" s="25" t="s">
        <v>23</v>
      </c>
      <c r="F649" s="4">
        <v>777130390</v>
      </c>
      <c r="G649" s="4">
        <v>802732</v>
      </c>
      <c r="H649" s="26">
        <v>1</v>
      </c>
      <c r="I649" s="28">
        <v>45534</v>
      </c>
      <c r="J649" s="27" t="s">
        <v>1007</v>
      </c>
    </row>
    <row r="650" spans="1:10" thickTop="1" thickBot="1" x14ac:dyDescent="0.6">
      <c r="A650" s="15">
        <v>649</v>
      </c>
    </row>
    <row r="651" spans="1:10" thickTop="1" thickBot="1" x14ac:dyDescent="0.6">
      <c r="A651" s="15">
        <v>650</v>
      </c>
      <c r="B651" s="16">
        <v>1150787</v>
      </c>
      <c r="C651" s="4" t="s">
        <v>1008</v>
      </c>
      <c r="D651" s="25" t="s">
        <v>1009</v>
      </c>
      <c r="E651" s="25" t="s">
        <v>24</v>
      </c>
      <c r="F651" s="4">
        <v>773707813</v>
      </c>
      <c r="G651" s="4">
        <v>146228</v>
      </c>
      <c r="H651" s="26">
        <v>1</v>
      </c>
      <c r="I651" s="28">
        <v>45528</v>
      </c>
      <c r="J651" s="27" t="s">
        <v>1010</v>
      </c>
    </row>
    <row r="652" spans="1:10" thickTop="1" thickBot="1" x14ac:dyDescent="0.6">
      <c r="A652" s="15">
        <v>651</v>
      </c>
      <c r="B652" s="16">
        <v>1150395</v>
      </c>
      <c r="C652" s="4" t="s">
        <v>1011</v>
      </c>
      <c r="D652" s="25" t="s">
        <v>814</v>
      </c>
      <c r="E652" s="25" t="s">
        <v>23</v>
      </c>
      <c r="F652" s="4">
        <v>775869799</v>
      </c>
      <c r="G652" s="4">
        <v>118211</v>
      </c>
      <c r="H652" s="26">
        <v>1</v>
      </c>
      <c r="I652" s="28">
        <v>44923</v>
      </c>
      <c r="J652" s="27" t="s">
        <v>1012</v>
      </c>
    </row>
    <row r="653" spans="1:10" thickTop="1" thickBot="1" x14ac:dyDescent="0.6">
      <c r="A653" s="15">
        <v>652</v>
      </c>
      <c r="B653" s="16">
        <v>1150819</v>
      </c>
      <c r="C653" s="4" t="s">
        <v>1013</v>
      </c>
      <c r="D653" s="25" t="s">
        <v>1014</v>
      </c>
      <c r="E653" s="25" t="s">
        <v>249</v>
      </c>
      <c r="F653" s="4">
        <v>767352515</v>
      </c>
      <c r="G653" s="4">
        <v>144181</v>
      </c>
      <c r="H653" s="26">
        <v>1</v>
      </c>
      <c r="I653" s="28">
        <v>45539</v>
      </c>
      <c r="J653" s="27" t="s">
        <v>1015</v>
      </c>
    </row>
    <row r="654" spans="1:10" thickTop="1" thickBot="1" x14ac:dyDescent="0.6">
      <c r="A654" s="15">
        <v>653</v>
      </c>
      <c r="B654" s="16">
        <v>1150321</v>
      </c>
      <c r="C654" s="4" t="s">
        <v>1016</v>
      </c>
      <c r="D654" s="25" t="s">
        <v>565</v>
      </c>
      <c r="E654" s="25" t="s">
        <v>78</v>
      </c>
      <c r="F654" s="4">
        <v>776106270</v>
      </c>
      <c r="G654" s="4">
        <v>720496</v>
      </c>
      <c r="H654" s="26">
        <v>1</v>
      </c>
      <c r="I654" s="28">
        <v>44571</v>
      </c>
      <c r="J654" s="27" t="s">
        <v>1017</v>
      </c>
    </row>
    <row r="655" spans="1:10" thickTop="1" thickBot="1" x14ac:dyDescent="0.6">
      <c r="A655" s="15">
        <v>654</v>
      </c>
      <c r="I655" s="28"/>
    </row>
    <row r="656" spans="1:10" thickTop="1" thickBot="1" x14ac:dyDescent="0.6">
      <c r="A656" s="15">
        <v>655</v>
      </c>
      <c r="I656" s="28"/>
    </row>
    <row r="657" spans="1:11" thickTop="1" thickBot="1" x14ac:dyDescent="0.6">
      <c r="A657" s="15">
        <v>656</v>
      </c>
      <c r="I657" s="28"/>
    </row>
    <row r="658" spans="1:11" thickTop="1" thickBot="1" x14ac:dyDescent="0.6">
      <c r="A658" s="15">
        <v>657</v>
      </c>
      <c r="B658" s="16">
        <v>1150822</v>
      </c>
      <c r="C658" s="4" t="s">
        <v>1018</v>
      </c>
      <c r="D658" s="25" t="s">
        <v>1019</v>
      </c>
      <c r="E658" s="25" t="s">
        <v>50</v>
      </c>
      <c r="F658" s="4">
        <v>778687024</v>
      </c>
      <c r="G658" s="4" t="s">
        <v>1020</v>
      </c>
      <c r="H658" s="26">
        <v>1</v>
      </c>
      <c r="I658" s="28">
        <v>45541</v>
      </c>
      <c r="J658" s="27" t="s">
        <v>1021</v>
      </c>
    </row>
    <row r="659" spans="1:11" thickTop="1" thickBot="1" x14ac:dyDescent="0.6">
      <c r="A659" s="15">
        <v>658</v>
      </c>
    </row>
    <row r="660" spans="1:11" thickTop="1" thickBot="1" x14ac:dyDescent="0.6">
      <c r="A660" s="15">
        <v>659</v>
      </c>
      <c r="B660" s="16">
        <v>1150825</v>
      </c>
      <c r="C660" s="4" t="s">
        <v>1022</v>
      </c>
      <c r="E660" s="25" t="s">
        <v>6</v>
      </c>
      <c r="F660" s="4" t="s">
        <v>1023</v>
      </c>
      <c r="G660" s="4">
        <v>115165</v>
      </c>
      <c r="H660" s="26">
        <v>1</v>
      </c>
      <c r="I660" s="28">
        <v>45541</v>
      </c>
      <c r="J660" s="27" t="s">
        <v>1024</v>
      </c>
    </row>
    <row r="661" spans="1:11" thickTop="1" thickBot="1" x14ac:dyDescent="0.6">
      <c r="A661" s="15">
        <v>660</v>
      </c>
      <c r="B661" s="16">
        <v>1150503</v>
      </c>
      <c r="C661" s="4" t="s">
        <v>1025</v>
      </c>
      <c r="D661" s="25" t="s">
        <v>1026</v>
      </c>
      <c r="E661" s="25" t="s">
        <v>23</v>
      </c>
      <c r="F661" s="4">
        <v>701171526</v>
      </c>
      <c r="G661" s="4" t="str">
        <f>"0"&amp;87182</f>
        <v>087182</v>
      </c>
      <c r="H661" s="26">
        <v>1</v>
      </c>
      <c r="I661" s="28">
        <v>45183</v>
      </c>
      <c r="J661" s="27">
        <v>198527605860</v>
      </c>
    </row>
    <row r="662" spans="1:11" thickTop="1" thickBot="1" x14ac:dyDescent="0.6">
      <c r="A662" s="15">
        <v>661</v>
      </c>
      <c r="B662" s="16">
        <v>1150322</v>
      </c>
      <c r="C662" s="4" t="s">
        <v>1027</v>
      </c>
      <c r="D662" s="25" t="s">
        <v>1028</v>
      </c>
      <c r="E662" s="25" t="s">
        <v>6</v>
      </c>
      <c r="F662" s="4">
        <v>756535028</v>
      </c>
      <c r="G662" s="4">
        <v>966222</v>
      </c>
      <c r="H662" s="26">
        <v>1</v>
      </c>
      <c r="I662" s="28">
        <v>44581</v>
      </c>
      <c r="J662" s="27" t="s">
        <v>1029</v>
      </c>
    </row>
    <row r="663" spans="1:11" thickTop="1" thickBot="1" x14ac:dyDescent="0.6">
      <c r="A663" s="15">
        <v>662</v>
      </c>
      <c r="B663" s="16">
        <v>1150863</v>
      </c>
      <c r="C663" s="4" t="s">
        <v>1030</v>
      </c>
      <c r="D663" s="25" t="s">
        <v>576</v>
      </c>
      <c r="E663" s="25" t="s">
        <v>23</v>
      </c>
      <c r="F663" s="4" t="s">
        <v>1031</v>
      </c>
      <c r="G663" s="4">
        <v>458680</v>
      </c>
      <c r="H663" s="26">
        <v>1</v>
      </c>
      <c r="I663" s="28">
        <v>45568</v>
      </c>
      <c r="J663" s="27" t="s">
        <v>1032</v>
      </c>
    </row>
    <row r="664" spans="1:11" thickTop="1" thickBot="1" x14ac:dyDescent="0.6">
      <c r="A664" s="15">
        <v>663</v>
      </c>
      <c r="B664" s="16">
        <v>1151072</v>
      </c>
      <c r="C664" s="4" t="s">
        <v>1033</v>
      </c>
      <c r="D664" s="25" t="s">
        <v>127</v>
      </c>
      <c r="E664" s="25" t="s">
        <v>17</v>
      </c>
      <c r="F664" s="4" t="s">
        <v>1034</v>
      </c>
      <c r="G664" s="33">
        <v>164148</v>
      </c>
      <c r="H664" s="26">
        <v>1</v>
      </c>
      <c r="I664" s="28">
        <v>45601</v>
      </c>
      <c r="J664" s="27" t="s">
        <v>1035</v>
      </c>
    </row>
    <row r="665" spans="1:11" thickTop="1" thickBot="1" x14ac:dyDescent="0.6">
      <c r="A665" s="15">
        <v>664</v>
      </c>
      <c r="B665" s="16">
        <v>1151265</v>
      </c>
      <c r="C665" s="4" t="s">
        <v>1036</v>
      </c>
      <c r="D665" s="25" t="s">
        <v>803</v>
      </c>
      <c r="E665" s="25" t="s">
        <v>43</v>
      </c>
      <c r="F665" s="4">
        <v>711789456</v>
      </c>
      <c r="G665" s="4">
        <v>647780</v>
      </c>
      <c r="H665" s="26">
        <v>1</v>
      </c>
      <c r="I665" s="7"/>
      <c r="J665" s="13">
        <v>196519500767</v>
      </c>
      <c r="K665" s="10"/>
    </row>
    <row r="666" spans="1:11" thickTop="1" thickBot="1" x14ac:dyDescent="0.6">
      <c r="A666" s="15">
        <v>665</v>
      </c>
    </row>
    <row r="667" spans="1:11" thickTop="1" thickBot="1" x14ac:dyDescent="0.6">
      <c r="A667" s="15">
        <v>666</v>
      </c>
    </row>
    <row r="668" spans="1:11" thickTop="1" thickBot="1" x14ac:dyDescent="0.6">
      <c r="A668" s="15">
        <v>667</v>
      </c>
      <c r="B668" s="16">
        <v>1150695</v>
      </c>
      <c r="C668" s="4" t="s">
        <v>1037</v>
      </c>
      <c r="D668" s="25" t="s">
        <v>271</v>
      </c>
      <c r="E668" s="25" t="s">
        <v>43</v>
      </c>
      <c r="F668" s="4" t="s">
        <v>1038</v>
      </c>
      <c r="G668" s="4">
        <v>143308</v>
      </c>
      <c r="H668" s="26">
        <v>1</v>
      </c>
      <c r="I668" s="28">
        <v>45460</v>
      </c>
      <c r="J668" s="27" t="s">
        <v>1039</v>
      </c>
    </row>
    <row r="669" spans="1:11" thickTop="1" thickBot="1" x14ac:dyDescent="0.6">
      <c r="A669" s="15">
        <v>668</v>
      </c>
    </row>
    <row r="670" spans="1:11" thickTop="1" thickBot="1" x14ac:dyDescent="0.6">
      <c r="A670" s="15">
        <v>669</v>
      </c>
      <c r="B670" s="16">
        <v>1151210</v>
      </c>
      <c r="C670" s="4" t="s">
        <v>1040</v>
      </c>
      <c r="D670" s="25" t="s">
        <v>1041</v>
      </c>
      <c r="E670" s="25" t="s">
        <v>43</v>
      </c>
      <c r="F670" s="4" t="s">
        <v>1042</v>
      </c>
      <c r="G670" s="4">
        <v>286172</v>
      </c>
      <c r="H670" s="26">
        <v>1</v>
      </c>
      <c r="I670" s="28">
        <v>45607</v>
      </c>
      <c r="J670" s="27">
        <v>198705304450</v>
      </c>
    </row>
    <row r="671" spans="1:11" thickTop="1" thickBot="1" x14ac:dyDescent="0.6">
      <c r="A671" s="15">
        <v>670</v>
      </c>
    </row>
    <row r="672" spans="1:11" thickTop="1" thickBot="1" x14ac:dyDescent="0.6">
      <c r="A672" s="15">
        <v>671</v>
      </c>
    </row>
    <row r="673" spans="1:10" thickTop="1" thickBot="1" x14ac:dyDescent="0.6">
      <c r="A673" s="15">
        <v>672</v>
      </c>
      <c r="B673" s="16">
        <v>1150751</v>
      </c>
      <c r="C673" s="4" t="s">
        <v>1043</v>
      </c>
      <c r="D673" s="25" t="s">
        <v>1044</v>
      </c>
      <c r="E673" s="25" t="s">
        <v>50</v>
      </c>
      <c r="F673" s="4">
        <v>764087182</v>
      </c>
      <c r="G673" s="4">
        <v>315197</v>
      </c>
      <c r="H673" s="26">
        <v>1</v>
      </c>
      <c r="J673" s="27" t="s">
        <v>1045</v>
      </c>
    </row>
    <row r="674" spans="1:10" thickTop="1" thickBot="1" x14ac:dyDescent="0.6">
      <c r="A674" s="15">
        <v>673</v>
      </c>
      <c r="B674" s="16">
        <v>1150830</v>
      </c>
      <c r="C674" s="4" t="s">
        <v>1046</v>
      </c>
      <c r="D674" s="25" t="s">
        <v>611</v>
      </c>
      <c r="E674" s="25" t="s">
        <v>249</v>
      </c>
      <c r="F674" s="4">
        <v>777384488</v>
      </c>
      <c r="G674" s="4" t="s">
        <v>1047</v>
      </c>
      <c r="H674" s="26">
        <v>2</v>
      </c>
      <c r="I674" s="28">
        <v>45546</v>
      </c>
      <c r="J674" s="27" t="s">
        <v>1048</v>
      </c>
    </row>
    <row r="675" spans="1:10" thickTop="1" thickBot="1" x14ac:dyDescent="0.6">
      <c r="A675" s="15">
        <v>674</v>
      </c>
      <c r="B675" s="16">
        <v>1150330</v>
      </c>
      <c r="C675" s="4" t="s">
        <v>1049</v>
      </c>
      <c r="D675" s="25" t="s">
        <v>449</v>
      </c>
      <c r="E675" s="25" t="s">
        <v>43</v>
      </c>
      <c r="F675" s="4" t="s">
        <v>1050</v>
      </c>
      <c r="G675" s="4" t="str">
        <f>"0"&amp;10195</f>
        <v>010195</v>
      </c>
      <c r="H675" s="26">
        <v>1</v>
      </c>
      <c r="I675" s="28">
        <v>44621</v>
      </c>
      <c r="J675" s="27" t="s">
        <v>1051</v>
      </c>
    </row>
    <row r="676" spans="1:10" thickTop="1" thickBot="1" x14ac:dyDescent="0.6">
      <c r="A676" s="15">
        <v>675</v>
      </c>
      <c r="B676" s="16">
        <v>1150331</v>
      </c>
      <c r="C676" s="4" t="s">
        <v>1052</v>
      </c>
      <c r="D676" s="25" t="s">
        <v>996</v>
      </c>
      <c r="E676" s="25" t="s">
        <v>57</v>
      </c>
      <c r="F676" s="4">
        <v>774348992</v>
      </c>
      <c r="G676" s="4">
        <v>729711</v>
      </c>
      <c r="H676" s="26">
        <v>1</v>
      </c>
      <c r="I676" s="28">
        <v>44622</v>
      </c>
      <c r="J676" s="27" t="s">
        <v>1053</v>
      </c>
    </row>
    <row r="677" spans="1:10" thickTop="1" thickBot="1" x14ac:dyDescent="0.6">
      <c r="A677" s="15">
        <v>676</v>
      </c>
      <c r="B677" s="16">
        <v>1151101</v>
      </c>
      <c r="C677" s="4" t="s">
        <v>1054</v>
      </c>
      <c r="E677" s="25" t="s">
        <v>12</v>
      </c>
      <c r="F677" s="4">
        <v>711666612</v>
      </c>
      <c r="G677" s="4" t="s">
        <v>1055</v>
      </c>
      <c r="H677" s="26">
        <v>2</v>
      </c>
      <c r="I677" s="28">
        <v>45603</v>
      </c>
    </row>
    <row r="678" spans="1:10" thickTop="1" thickBot="1" x14ac:dyDescent="0.6">
      <c r="A678" s="15">
        <v>677</v>
      </c>
      <c r="B678" s="16">
        <v>1150631</v>
      </c>
      <c r="C678" s="4" t="s">
        <v>1056</v>
      </c>
      <c r="E678" s="25" t="s">
        <v>57</v>
      </c>
      <c r="F678" s="4">
        <v>773774498</v>
      </c>
      <c r="G678" s="4">
        <v>147325</v>
      </c>
      <c r="H678" s="26">
        <v>1</v>
      </c>
      <c r="I678" s="28">
        <v>45323</v>
      </c>
      <c r="J678" s="27" t="s">
        <v>1057</v>
      </c>
    </row>
    <row r="679" spans="1:10" thickTop="1" thickBot="1" x14ac:dyDescent="0.6">
      <c r="A679" s="15">
        <v>678</v>
      </c>
      <c r="I679" s="28"/>
    </row>
    <row r="680" spans="1:10" thickTop="1" thickBot="1" x14ac:dyDescent="0.6">
      <c r="A680" s="15">
        <v>679</v>
      </c>
      <c r="B680" s="16">
        <v>1150530</v>
      </c>
      <c r="C680" s="4" t="s">
        <v>1058</v>
      </c>
      <c r="D680" s="25" t="s">
        <v>1059</v>
      </c>
      <c r="E680" s="25" t="s">
        <v>85</v>
      </c>
      <c r="F680" s="4" t="s">
        <v>1060</v>
      </c>
      <c r="G680" s="4">
        <v>158439</v>
      </c>
      <c r="H680" s="26">
        <v>1</v>
      </c>
      <c r="I680" s="28">
        <v>45244</v>
      </c>
      <c r="J680" s="27" t="s">
        <v>1061</v>
      </c>
    </row>
    <row r="681" spans="1:10" thickTop="1" thickBot="1" x14ac:dyDescent="0.6">
      <c r="A681" s="15">
        <v>680</v>
      </c>
    </row>
    <row r="682" spans="1:10" thickTop="1" thickBot="1" x14ac:dyDescent="0.6">
      <c r="A682" s="15">
        <v>681</v>
      </c>
      <c r="B682" s="16">
        <v>1151078</v>
      </c>
      <c r="C682" s="4" t="s">
        <v>1062</v>
      </c>
      <c r="D682" s="25" t="s">
        <v>1063</v>
      </c>
      <c r="E682" s="25" t="s">
        <v>17</v>
      </c>
      <c r="F682" s="4">
        <v>774668175</v>
      </c>
      <c r="G682" s="4">
        <v>316888</v>
      </c>
      <c r="H682" s="26">
        <v>1</v>
      </c>
      <c r="I682" s="28">
        <v>45601</v>
      </c>
      <c r="J682" s="27">
        <v>196801802362</v>
      </c>
    </row>
    <row r="683" spans="1:10" thickTop="1" thickBot="1" x14ac:dyDescent="0.6">
      <c r="A683" s="15">
        <v>682</v>
      </c>
      <c r="B683" s="16">
        <v>1150849</v>
      </c>
      <c r="C683" s="4" t="s">
        <v>1064</v>
      </c>
      <c r="D683" s="25" t="s">
        <v>22</v>
      </c>
      <c r="E683" s="25" t="s">
        <v>17</v>
      </c>
      <c r="F683" s="4">
        <v>512222932</v>
      </c>
      <c r="G683" s="4">
        <v>360373</v>
      </c>
      <c r="H683" s="26">
        <v>1</v>
      </c>
      <c r="I683" s="28">
        <v>45562</v>
      </c>
    </row>
    <row r="684" spans="1:10" thickTop="1" thickBot="1" x14ac:dyDescent="0.6">
      <c r="A684" s="15">
        <v>683</v>
      </c>
      <c r="I684" s="28"/>
    </row>
    <row r="685" spans="1:10" thickTop="1" thickBot="1" x14ac:dyDescent="0.6">
      <c r="A685" s="15">
        <v>684</v>
      </c>
      <c r="B685" s="16">
        <v>1150528</v>
      </c>
      <c r="C685" s="4" t="s">
        <v>2967</v>
      </c>
      <c r="D685" s="25" t="s">
        <v>565</v>
      </c>
      <c r="E685" s="25" t="s">
        <v>57</v>
      </c>
      <c r="F685" s="4">
        <v>770413568</v>
      </c>
      <c r="G685" s="4" t="str">
        <f>"0"&amp;94832</f>
        <v>094832</v>
      </c>
      <c r="H685" s="26">
        <v>1</v>
      </c>
      <c r="I685" s="28">
        <v>45241</v>
      </c>
      <c r="J685" s="27" t="s">
        <v>1065</v>
      </c>
    </row>
    <row r="686" spans="1:10" thickTop="1" thickBot="1" x14ac:dyDescent="0.6">
      <c r="A686" s="15">
        <v>685</v>
      </c>
      <c r="B686" s="16">
        <v>1150397</v>
      </c>
      <c r="C686" s="4" t="s">
        <v>1066</v>
      </c>
      <c r="D686" s="25" t="s">
        <v>47</v>
      </c>
      <c r="E686" s="25" t="s">
        <v>17</v>
      </c>
      <c r="F686" s="4">
        <v>756183979</v>
      </c>
      <c r="G686" s="4">
        <v>698312</v>
      </c>
      <c r="H686" s="26">
        <v>1</v>
      </c>
      <c r="I686" s="28">
        <v>44923</v>
      </c>
      <c r="J686" s="27" t="s">
        <v>1067</v>
      </c>
    </row>
    <row r="687" spans="1:10" thickTop="1" thickBot="1" x14ac:dyDescent="0.6">
      <c r="A687" s="15">
        <v>686</v>
      </c>
    </row>
    <row r="688" spans="1:10" thickTop="1" thickBot="1" x14ac:dyDescent="0.6">
      <c r="A688" s="15">
        <v>687</v>
      </c>
      <c r="B688" s="16">
        <v>1150336</v>
      </c>
      <c r="C688" s="4" t="s">
        <v>2940</v>
      </c>
      <c r="D688" s="25" t="s">
        <v>2941</v>
      </c>
      <c r="E688" s="25" t="s">
        <v>50</v>
      </c>
      <c r="F688" s="4">
        <v>773343437</v>
      </c>
      <c r="G688" s="4">
        <v>87242</v>
      </c>
      <c r="H688" s="26">
        <v>1</v>
      </c>
      <c r="I688" s="28"/>
    </row>
    <row r="689" spans="1:10" thickTop="1" thickBot="1" x14ac:dyDescent="0.6">
      <c r="A689" s="15">
        <v>688</v>
      </c>
      <c r="I689" s="28"/>
    </row>
    <row r="690" spans="1:10" thickTop="1" thickBot="1" x14ac:dyDescent="0.6">
      <c r="A690" s="15">
        <v>689</v>
      </c>
      <c r="B690" s="16">
        <v>1150337</v>
      </c>
      <c r="C690" s="4" t="s">
        <v>1068</v>
      </c>
      <c r="D690" s="25" t="s">
        <v>380</v>
      </c>
      <c r="E690" s="25" t="s">
        <v>43</v>
      </c>
      <c r="F690" s="4" t="s">
        <v>1069</v>
      </c>
      <c r="G690" s="4">
        <v>260526</v>
      </c>
      <c r="H690" s="26">
        <v>1</v>
      </c>
      <c r="I690" s="28">
        <v>44646</v>
      </c>
      <c r="J690" s="27" t="s">
        <v>1070</v>
      </c>
    </row>
    <row r="691" spans="1:10" thickTop="1" thickBot="1" x14ac:dyDescent="0.6">
      <c r="A691" s="15">
        <v>690</v>
      </c>
      <c r="B691" s="16">
        <v>1150328</v>
      </c>
      <c r="C691" s="4" t="s">
        <v>1071</v>
      </c>
      <c r="D691" s="25" t="s">
        <v>1072</v>
      </c>
      <c r="E691" s="25" t="s">
        <v>57</v>
      </c>
      <c r="F691" s="4">
        <v>777074301</v>
      </c>
      <c r="G691" s="4">
        <v>269519</v>
      </c>
      <c r="H691" s="26">
        <v>1</v>
      </c>
      <c r="I691" s="28">
        <v>45050</v>
      </c>
      <c r="J691" s="27" t="s">
        <v>1073</v>
      </c>
    </row>
    <row r="692" spans="1:10" thickTop="1" thickBot="1" x14ac:dyDescent="0.6">
      <c r="A692" s="15">
        <v>691</v>
      </c>
      <c r="B692" s="16">
        <v>1150385</v>
      </c>
      <c r="C692" s="4" t="s">
        <v>1074</v>
      </c>
      <c r="D692" s="25" t="s">
        <v>497</v>
      </c>
      <c r="E692" s="25" t="s">
        <v>12</v>
      </c>
      <c r="F692" s="4">
        <v>711152999</v>
      </c>
      <c r="G692" s="4" t="str">
        <f>"0"&amp;98355</f>
        <v>098355</v>
      </c>
      <c r="H692" s="26">
        <v>1</v>
      </c>
      <c r="I692" s="28">
        <v>44892</v>
      </c>
      <c r="J692" s="27" t="s">
        <v>1075</v>
      </c>
    </row>
    <row r="693" spans="1:10" thickTop="1" thickBot="1" x14ac:dyDescent="0.6">
      <c r="A693" s="15">
        <v>692</v>
      </c>
      <c r="I693" s="28"/>
    </row>
    <row r="694" spans="1:10" thickTop="1" thickBot="1" x14ac:dyDescent="0.6">
      <c r="A694" s="15">
        <v>693</v>
      </c>
      <c r="B694" s="16">
        <v>1150833</v>
      </c>
      <c r="C694" s="4" t="s">
        <v>1076</v>
      </c>
      <c r="D694" s="25" t="s">
        <v>105</v>
      </c>
      <c r="E694" s="25" t="s">
        <v>50</v>
      </c>
      <c r="F694" s="4">
        <v>774375187</v>
      </c>
      <c r="G694" s="4">
        <v>147390</v>
      </c>
      <c r="H694" s="26">
        <v>1</v>
      </c>
      <c r="I694" s="28">
        <v>45548</v>
      </c>
      <c r="J694" s="27" t="s">
        <v>1077</v>
      </c>
    </row>
    <row r="695" spans="1:10" thickTop="1" thickBot="1" x14ac:dyDescent="0.6">
      <c r="A695" s="15">
        <v>694</v>
      </c>
      <c r="B695" s="16">
        <v>1150341</v>
      </c>
      <c r="C695" s="4" t="s">
        <v>1078</v>
      </c>
      <c r="D695" s="25" t="s">
        <v>1079</v>
      </c>
      <c r="E695" s="25" t="s">
        <v>57</v>
      </c>
      <c r="F695" s="4" t="s">
        <v>1080</v>
      </c>
      <c r="G695" s="4" t="str">
        <f>"0"&amp;97506</f>
        <v>097506</v>
      </c>
      <c r="H695" s="26">
        <v>1</v>
      </c>
      <c r="I695" s="28">
        <v>44656</v>
      </c>
      <c r="J695" s="27" t="s">
        <v>1081</v>
      </c>
    </row>
    <row r="696" spans="1:10" thickTop="1" thickBot="1" x14ac:dyDescent="0.6">
      <c r="A696" s="15">
        <v>695</v>
      </c>
      <c r="B696" s="16">
        <v>1150792</v>
      </c>
      <c r="C696" s="4" t="s">
        <v>1082</v>
      </c>
      <c r="D696" s="25" t="s">
        <v>227</v>
      </c>
      <c r="E696" s="25" t="s">
        <v>12</v>
      </c>
      <c r="F696" s="4">
        <v>777999180</v>
      </c>
      <c r="G696" s="4">
        <v>114549</v>
      </c>
      <c r="H696" s="26">
        <v>1</v>
      </c>
      <c r="I696" s="28">
        <v>45529</v>
      </c>
      <c r="J696" s="27" t="s">
        <v>1083</v>
      </c>
    </row>
    <row r="697" spans="1:10" thickTop="1" thickBot="1" x14ac:dyDescent="0.6">
      <c r="A697" s="15">
        <v>696</v>
      </c>
      <c r="B697" s="16">
        <v>1150838</v>
      </c>
      <c r="C697" s="4" t="s">
        <v>1084</v>
      </c>
      <c r="D697" s="25" t="s">
        <v>1085</v>
      </c>
      <c r="E697" s="25" t="s">
        <v>6</v>
      </c>
      <c r="F697" s="4">
        <v>726644440</v>
      </c>
      <c r="G697" s="4">
        <v>106438</v>
      </c>
      <c r="H697" s="26">
        <v>1</v>
      </c>
      <c r="I697" s="28">
        <v>45553</v>
      </c>
      <c r="J697" s="27">
        <v>197807004594</v>
      </c>
    </row>
    <row r="698" spans="1:10" thickTop="1" thickBot="1" x14ac:dyDescent="0.6">
      <c r="A698" s="15">
        <v>697</v>
      </c>
      <c r="I698" s="28"/>
    </row>
    <row r="699" spans="1:10" thickTop="1" thickBot="1" x14ac:dyDescent="0.6">
      <c r="A699" s="15">
        <v>698</v>
      </c>
      <c r="B699" s="16">
        <v>1150268</v>
      </c>
      <c r="C699" s="4" t="s">
        <v>1086</v>
      </c>
      <c r="D699" s="25" t="s">
        <v>905</v>
      </c>
      <c r="E699" s="25" t="s">
        <v>17</v>
      </c>
      <c r="F699" s="4">
        <v>777700645</v>
      </c>
      <c r="G699" s="4">
        <v>255740</v>
      </c>
      <c r="H699" s="26">
        <v>1</v>
      </c>
      <c r="I699" s="28">
        <v>44661</v>
      </c>
      <c r="J699" s="27" t="s">
        <v>1087</v>
      </c>
    </row>
    <row r="700" spans="1:10" thickTop="1" thickBot="1" x14ac:dyDescent="0.6">
      <c r="A700" s="15">
        <v>699</v>
      </c>
      <c r="B700" s="16">
        <v>1150343</v>
      </c>
      <c r="C700" s="4" t="s">
        <v>1088</v>
      </c>
      <c r="D700" s="25" t="s">
        <v>1089</v>
      </c>
      <c r="E700" s="25" t="s">
        <v>57</v>
      </c>
      <c r="F700" s="4" t="s">
        <v>1090</v>
      </c>
      <c r="G700" s="4" t="str">
        <f>"0"&amp;98652</f>
        <v>098652</v>
      </c>
      <c r="H700" s="26">
        <v>1</v>
      </c>
      <c r="I700" s="28">
        <v>44669</v>
      </c>
      <c r="J700" s="27" t="s">
        <v>1091</v>
      </c>
    </row>
    <row r="701" spans="1:10" thickTop="1" thickBot="1" x14ac:dyDescent="0.6">
      <c r="A701" s="15">
        <v>700</v>
      </c>
    </row>
    <row r="702" spans="1:10" thickTop="1" thickBot="1" x14ac:dyDescent="0.6">
      <c r="A702" s="15">
        <v>701</v>
      </c>
      <c r="I702" s="28"/>
    </row>
    <row r="703" spans="1:10" thickTop="1" thickBot="1" x14ac:dyDescent="0.6">
      <c r="A703" s="15">
        <v>702</v>
      </c>
      <c r="B703" s="16">
        <v>1150763</v>
      </c>
      <c r="C703" s="4" t="s">
        <v>1092</v>
      </c>
      <c r="D703" s="25" t="s">
        <v>42</v>
      </c>
      <c r="E703" s="25" t="s">
        <v>17</v>
      </c>
      <c r="F703" s="4" t="s">
        <v>1093</v>
      </c>
      <c r="G703" s="4">
        <v>601778</v>
      </c>
      <c r="H703" s="26">
        <v>1</v>
      </c>
      <c r="I703" s="28"/>
    </row>
    <row r="704" spans="1:10" thickTop="1" thickBot="1" x14ac:dyDescent="0.6">
      <c r="A704" s="15">
        <v>703</v>
      </c>
      <c r="B704" s="16">
        <v>1150388</v>
      </c>
      <c r="C704" s="4" t="s">
        <v>1094</v>
      </c>
      <c r="D704" s="25" t="s">
        <v>1095</v>
      </c>
      <c r="E704" s="25" t="s">
        <v>78</v>
      </c>
      <c r="F704" s="4">
        <v>772622026</v>
      </c>
      <c r="G704" s="4">
        <v>721817</v>
      </c>
      <c r="H704" s="26">
        <v>1</v>
      </c>
      <c r="I704" s="28">
        <v>44911</v>
      </c>
      <c r="J704" s="27">
        <v>195706210129</v>
      </c>
    </row>
    <row r="705" spans="1:10" thickTop="1" thickBot="1" x14ac:dyDescent="0.6">
      <c r="A705" s="15">
        <v>704</v>
      </c>
    </row>
    <row r="706" spans="1:10" thickTop="1" thickBot="1" x14ac:dyDescent="0.6">
      <c r="A706" s="15">
        <v>705</v>
      </c>
      <c r="B706" s="16">
        <v>1150344</v>
      </c>
      <c r="C706" s="4" t="s">
        <v>1096</v>
      </c>
      <c r="D706" s="25" t="s">
        <v>730</v>
      </c>
      <c r="E706" s="25" t="s">
        <v>238</v>
      </c>
      <c r="F706" s="4">
        <v>729066870</v>
      </c>
      <c r="G706" s="4" t="str">
        <f>"0"&amp;98108</f>
        <v>098108</v>
      </c>
      <c r="H706" s="26">
        <v>1</v>
      </c>
      <c r="I706" s="28">
        <v>44685</v>
      </c>
      <c r="J706" s="27" t="s">
        <v>1097</v>
      </c>
    </row>
    <row r="707" spans="1:10" thickTop="1" thickBot="1" x14ac:dyDescent="0.6">
      <c r="A707" s="15">
        <v>706</v>
      </c>
      <c r="B707" s="16">
        <v>1150383</v>
      </c>
      <c r="C707" s="4" t="s">
        <v>1098</v>
      </c>
      <c r="D707" s="25" t="s">
        <v>475</v>
      </c>
      <c r="E707" s="25" t="s">
        <v>6</v>
      </c>
      <c r="F707" s="4">
        <v>777723516</v>
      </c>
      <c r="G707" s="4">
        <v>276928</v>
      </c>
      <c r="H707" s="26">
        <v>1</v>
      </c>
      <c r="I707" s="28">
        <v>44888</v>
      </c>
      <c r="J707" s="27" t="s">
        <v>1099</v>
      </c>
    </row>
    <row r="708" spans="1:10" thickTop="1" thickBot="1" x14ac:dyDescent="0.6">
      <c r="A708" s="15">
        <v>707</v>
      </c>
      <c r="B708" s="16">
        <v>1150840</v>
      </c>
      <c r="C708" s="4" t="s">
        <v>1100</v>
      </c>
      <c r="D708" s="25" t="s">
        <v>1101</v>
      </c>
      <c r="E708" s="25" t="s">
        <v>6</v>
      </c>
      <c r="F708" s="4">
        <v>776619253</v>
      </c>
      <c r="G708" s="4" t="str">
        <f>"0"&amp;93727</f>
        <v>093727</v>
      </c>
      <c r="H708" s="26">
        <v>1</v>
      </c>
      <c r="I708" s="28">
        <v>45555</v>
      </c>
      <c r="J708" s="27" t="s">
        <v>1102</v>
      </c>
    </row>
    <row r="709" spans="1:10" thickTop="1" thickBot="1" x14ac:dyDescent="0.6">
      <c r="A709" s="15">
        <v>708</v>
      </c>
      <c r="I709" s="28"/>
    </row>
    <row r="710" spans="1:10" thickTop="1" thickBot="1" x14ac:dyDescent="0.6">
      <c r="A710" s="15">
        <v>709</v>
      </c>
      <c r="B710" s="16">
        <v>1150081</v>
      </c>
      <c r="C710" s="4" t="s">
        <v>1103</v>
      </c>
      <c r="D710" s="25" t="s">
        <v>1104</v>
      </c>
      <c r="E710" s="25" t="s">
        <v>249</v>
      </c>
      <c r="F710" s="4">
        <v>774940002</v>
      </c>
      <c r="G710" s="4">
        <v>119268</v>
      </c>
      <c r="H710" s="26">
        <v>1</v>
      </c>
      <c r="I710" s="28"/>
    </row>
    <row r="711" spans="1:10" thickTop="1" thickBot="1" x14ac:dyDescent="0.6">
      <c r="A711" s="15">
        <v>710</v>
      </c>
    </row>
    <row r="712" spans="1:10" thickTop="1" thickBot="1" x14ac:dyDescent="0.6">
      <c r="A712" s="15">
        <v>711</v>
      </c>
    </row>
    <row r="713" spans="1:10" thickTop="1" thickBot="1" x14ac:dyDescent="0.6">
      <c r="A713" s="15">
        <v>712</v>
      </c>
      <c r="B713" s="16">
        <v>1150271</v>
      </c>
      <c r="C713" s="4" t="s">
        <v>1105</v>
      </c>
      <c r="D713" s="25" t="s">
        <v>1106</v>
      </c>
      <c r="E713" s="25" t="s">
        <v>43</v>
      </c>
      <c r="F713" s="4">
        <v>778200179</v>
      </c>
      <c r="G713" s="4">
        <v>254750</v>
      </c>
      <c r="H713" s="26">
        <v>1</v>
      </c>
      <c r="I713" s="8">
        <v>45561</v>
      </c>
      <c r="J713" s="13" t="s">
        <v>1107</v>
      </c>
    </row>
    <row r="714" spans="1:10" thickTop="1" thickBot="1" x14ac:dyDescent="0.6">
      <c r="A714" s="15">
        <v>713</v>
      </c>
      <c r="B714" s="16">
        <v>1150560</v>
      </c>
      <c r="C714" s="4" t="s">
        <v>1108</v>
      </c>
      <c r="D714" s="25" t="s">
        <v>1109</v>
      </c>
      <c r="E714" s="25" t="s">
        <v>17</v>
      </c>
      <c r="F714" s="4">
        <v>776720739</v>
      </c>
      <c r="G714" s="4">
        <v>159098</v>
      </c>
      <c r="H714" s="26">
        <v>1</v>
      </c>
      <c r="I714" s="28">
        <v>45281</v>
      </c>
      <c r="J714" s="27" t="s">
        <v>1110</v>
      </c>
    </row>
    <row r="715" spans="1:10" thickTop="1" thickBot="1" x14ac:dyDescent="0.6">
      <c r="A715" s="15">
        <v>714</v>
      </c>
      <c r="B715" s="16">
        <v>1150842</v>
      </c>
      <c r="C715" s="4" t="s">
        <v>2884</v>
      </c>
      <c r="D715" s="25" t="s">
        <v>549</v>
      </c>
      <c r="E715" s="25" t="s">
        <v>78</v>
      </c>
      <c r="F715" s="4">
        <v>772221967</v>
      </c>
      <c r="G715" s="4">
        <v>128606</v>
      </c>
      <c r="H715" s="26">
        <v>1</v>
      </c>
      <c r="I715" s="28">
        <v>45560</v>
      </c>
      <c r="J715" s="27">
        <v>19781050186</v>
      </c>
    </row>
    <row r="716" spans="1:10" thickTop="1" thickBot="1" x14ac:dyDescent="0.6">
      <c r="A716" s="15">
        <v>715</v>
      </c>
      <c r="B716" s="16">
        <v>1150850</v>
      </c>
      <c r="C716" s="4" t="s">
        <v>1111</v>
      </c>
      <c r="D716" s="25" t="s">
        <v>1112</v>
      </c>
      <c r="E716" s="25" t="s">
        <v>23</v>
      </c>
      <c r="F716" s="4">
        <v>717192276</v>
      </c>
      <c r="G716" s="4">
        <v>164247</v>
      </c>
      <c r="H716" s="26">
        <v>1</v>
      </c>
      <c r="I716" s="28">
        <v>45562</v>
      </c>
      <c r="J716" s="27">
        <v>198030005389</v>
      </c>
    </row>
    <row r="717" spans="1:10" thickTop="1" thickBot="1" x14ac:dyDescent="0.6">
      <c r="A717" s="15">
        <v>716</v>
      </c>
    </row>
    <row r="718" spans="1:10" thickTop="1" thickBot="1" x14ac:dyDescent="0.6">
      <c r="A718" s="15">
        <v>717</v>
      </c>
      <c r="B718" s="16">
        <v>1150882</v>
      </c>
      <c r="C718" s="4" t="s">
        <v>1113</v>
      </c>
      <c r="D718" s="25" t="s">
        <v>288</v>
      </c>
      <c r="E718" s="25" t="s">
        <v>78</v>
      </c>
      <c r="F718" s="4">
        <v>512222374</v>
      </c>
      <c r="G718" s="4">
        <v>456353</v>
      </c>
      <c r="H718" s="26">
        <v>1</v>
      </c>
      <c r="I718" s="28">
        <v>45572</v>
      </c>
      <c r="J718" s="27" t="s">
        <v>1114</v>
      </c>
    </row>
    <row r="719" spans="1:10" thickTop="1" thickBot="1" x14ac:dyDescent="0.6">
      <c r="A719" s="15">
        <v>718</v>
      </c>
      <c r="B719" s="16">
        <v>1150354</v>
      </c>
      <c r="C719" s="4" t="s">
        <v>1115</v>
      </c>
      <c r="D719" s="25" t="s">
        <v>1116</v>
      </c>
      <c r="E719" s="25" t="s">
        <v>78</v>
      </c>
      <c r="F719" s="4">
        <v>716312284</v>
      </c>
      <c r="G719" s="4">
        <v>718227</v>
      </c>
      <c r="H719" s="26">
        <v>1</v>
      </c>
      <c r="I719" s="30">
        <v>44709</v>
      </c>
      <c r="J719" s="27" t="s">
        <v>1117</v>
      </c>
    </row>
    <row r="720" spans="1:10" thickTop="1" thickBot="1" x14ac:dyDescent="0.6">
      <c r="A720" s="15">
        <v>719</v>
      </c>
      <c r="B720" s="16">
        <v>1150303</v>
      </c>
      <c r="C720" s="4" t="s">
        <v>1118</v>
      </c>
      <c r="D720" s="25" t="s">
        <v>1119</v>
      </c>
      <c r="E720" s="25" t="s">
        <v>63</v>
      </c>
      <c r="F720" s="4">
        <v>777426283</v>
      </c>
      <c r="G720" s="4">
        <v>227244</v>
      </c>
      <c r="H720" s="26">
        <v>1</v>
      </c>
      <c r="I720" s="28">
        <v>44710</v>
      </c>
      <c r="J720" s="27" t="s">
        <v>1120</v>
      </c>
    </row>
    <row r="721" spans="1:10" thickTop="1" thickBot="1" x14ac:dyDescent="0.6">
      <c r="A721" s="15">
        <v>720</v>
      </c>
      <c r="B721" s="16">
        <v>1150803</v>
      </c>
      <c r="C721" s="4" t="s">
        <v>1121</v>
      </c>
      <c r="D721" s="25" t="s">
        <v>1122</v>
      </c>
      <c r="E721" s="25" t="s">
        <v>78</v>
      </c>
      <c r="F721" s="4">
        <v>767147544</v>
      </c>
      <c r="G721" s="4">
        <v>133259</v>
      </c>
      <c r="H721" s="26">
        <v>1</v>
      </c>
      <c r="I721" s="28">
        <v>45572</v>
      </c>
      <c r="J721" s="27">
        <v>197007004033</v>
      </c>
    </row>
    <row r="722" spans="1:10" thickTop="1" thickBot="1" x14ac:dyDescent="0.6">
      <c r="A722" s="15">
        <v>721</v>
      </c>
      <c r="B722" s="16">
        <v>1150936</v>
      </c>
      <c r="C722" s="4" t="s">
        <v>1123</v>
      </c>
      <c r="D722" s="25" t="s">
        <v>1124</v>
      </c>
      <c r="E722" s="25" t="s">
        <v>57</v>
      </c>
      <c r="F722" s="4">
        <v>718180122</v>
      </c>
      <c r="G722" s="4">
        <v>355217</v>
      </c>
      <c r="H722" s="26">
        <v>1</v>
      </c>
      <c r="I722" s="28">
        <v>45580</v>
      </c>
      <c r="J722" s="27" t="s">
        <v>1125</v>
      </c>
    </row>
    <row r="723" spans="1:10" thickTop="1" thickBot="1" x14ac:dyDescent="0.6">
      <c r="A723" s="15">
        <v>722</v>
      </c>
      <c r="B723" s="16">
        <v>1150491</v>
      </c>
      <c r="C723" s="4" t="s">
        <v>1126</v>
      </c>
      <c r="D723" s="25" t="s">
        <v>1127</v>
      </c>
      <c r="E723" s="25" t="s">
        <v>125</v>
      </c>
      <c r="F723" s="4" t="s">
        <v>1128</v>
      </c>
      <c r="G723" s="4" t="str">
        <f>"0"&amp;34523</f>
        <v>034523</v>
      </c>
      <c r="H723" s="26">
        <v>1</v>
      </c>
      <c r="I723" s="28">
        <v>45121</v>
      </c>
      <c r="J723" s="27" t="s">
        <v>1129</v>
      </c>
    </row>
    <row r="724" spans="1:10" thickTop="1" thickBot="1" x14ac:dyDescent="0.6">
      <c r="A724" s="15">
        <v>723</v>
      </c>
      <c r="B724" s="16">
        <v>1151095</v>
      </c>
      <c r="C724" s="4" t="s">
        <v>1130</v>
      </c>
      <c r="D724" s="25" t="s">
        <v>1131</v>
      </c>
      <c r="E724" s="25" t="s">
        <v>23</v>
      </c>
      <c r="F724" s="4">
        <v>771363371</v>
      </c>
      <c r="G724" s="4">
        <v>165228</v>
      </c>
      <c r="H724" s="26">
        <v>1</v>
      </c>
      <c r="I724" s="28">
        <v>45603</v>
      </c>
      <c r="J724" s="27" t="s">
        <v>1132</v>
      </c>
    </row>
    <row r="725" spans="1:10" thickTop="1" thickBot="1" x14ac:dyDescent="0.6">
      <c r="A725" s="15">
        <v>724</v>
      </c>
      <c r="B725" s="16">
        <v>1150562</v>
      </c>
      <c r="C725" s="4" t="s">
        <v>1133</v>
      </c>
      <c r="D725" s="25" t="s">
        <v>1134</v>
      </c>
      <c r="E725" s="25" t="s">
        <v>57</v>
      </c>
      <c r="F725" s="4">
        <v>715110857</v>
      </c>
      <c r="G725" s="4">
        <v>148513</v>
      </c>
      <c r="H725" s="26">
        <v>1</v>
      </c>
      <c r="I725" s="28">
        <v>45281</v>
      </c>
      <c r="J725" s="27" t="s">
        <v>1135</v>
      </c>
    </row>
    <row r="726" spans="1:10" thickTop="1" thickBot="1" x14ac:dyDescent="0.6">
      <c r="A726" s="15">
        <v>725</v>
      </c>
      <c r="B726" s="16">
        <v>1150243</v>
      </c>
      <c r="C726" s="4" t="s">
        <v>3090</v>
      </c>
      <c r="D726" s="25" t="s">
        <v>3091</v>
      </c>
      <c r="E726" s="25" t="s">
        <v>85</v>
      </c>
      <c r="F726" s="4" t="s">
        <v>3092</v>
      </c>
      <c r="G726" s="4">
        <v>136452</v>
      </c>
      <c r="H726" s="26">
        <v>1</v>
      </c>
      <c r="I726" s="28">
        <v>45799</v>
      </c>
      <c r="J726" s="27" t="s">
        <v>3093</v>
      </c>
    </row>
    <row r="727" spans="1:10" thickTop="1" thickBot="1" x14ac:dyDescent="0.6">
      <c r="A727" s="15">
        <v>726</v>
      </c>
      <c r="B727" s="16">
        <v>1150923</v>
      </c>
      <c r="C727" s="4" t="s">
        <v>1136</v>
      </c>
      <c r="D727" s="25" t="s">
        <v>1137</v>
      </c>
      <c r="E727" s="25" t="s">
        <v>238</v>
      </c>
      <c r="F727" s="4" t="s">
        <v>1138</v>
      </c>
      <c r="G727" s="4">
        <v>197635</v>
      </c>
      <c r="H727" s="26">
        <v>1</v>
      </c>
      <c r="I727" s="28">
        <v>45578</v>
      </c>
      <c r="J727" s="27" t="s">
        <v>1139</v>
      </c>
    </row>
    <row r="728" spans="1:10" thickTop="1" thickBot="1" x14ac:dyDescent="0.6">
      <c r="A728" s="15">
        <v>727</v>
      </c>
      <c r="B728" s="16">
        <v>1150880</v>
      </c>
      <c r="C728" s="4" t="s">
        <v>1140</v>
      </c>
      <c r="D728" s="25" t="s">
        <v>1141</v>
      </c>
      <c r="E728" s="25" t="s">
        <v>78</v>
      </c>
      <c r="F728" s="4" t="s">
        <v>1142</v>
      </c>
      <c r="G728" s="4">
        <v>217870</v>
      </c>
      <c r="H728" s="26">
        <v>1</v>
      </c>
      <c r="I728" s="28">
        <v>45572</v>
      </c>
      <c r="J728" s="27">
        <v>199730802132</v>
      </c>
    </row>
    <row r="729" spans="1:10" thickTop="1" thickBot="1" x14ac:dyDescent="0.6">
      <c r="A729" s="15">
        <v>728</v>
      </c>
      <c r="B729" s="16">
        <v>1150962</v>
      </c>
      <c r="C729" s="4" t="s">
        <v>1143</v>
      </c>
      <c r="D729" s="25" t="s">
        <v>821</v>
      </c>
      <c r="E729" s="25" t="s">
        <v>50</v>
      </c>
      <c r="F729" s="4">
        <v>777411734</v>
      </c>
      <c r="G729" s="4">
        <v>357619</v>
      </c>
      <c r="H729" s="26">
        <v>1</v>
      </c>
      <c r="I729" s="28">
        <v>45584</v>
      </c>
    </row>
    <row r="730" spans="1:10" thickTop="1" thickBot="1" x14ac:dyDescent="0.6">
      <c r="A730" s="15">
        <v>729</v>
      </c>
    </row>
    <row r="731" spans="1:10" thickTop="1" thickBot="1" x14ac:dyDescent="0.6">
      <c r="A731" s="15">
        <v>730</v>
      </c>
    </row>
    <row r="732" spans="1:10" thickTop="1" thickBot="1" x14ac:dyDescent="0.6">
      <c r="A732" s="15">
        <v>731</v>
      </c>
    </row>
    <row r="733" spans="1:10" thickTop="1" thickBot="1" x14ac:dyDescent="0.6">
      <c r="A733" s="15">
        <v>732</v>
      </c>
      <c r="B733" s="16">
        <v>1150974</v>
      </c>
      <c r="C733" s="4" t="s">
        <v>1144</v>
      </c>
      <c r="D733" s="25" t="s">
        <v>243</v>
      </c>
      <c r="E733" s="25" t="s">
        <v>43</v>
      </c>
      <c r="F733" s="4" t="s">
        <v>1145</v>
      </c>
      <c r="G733" s="4">
        <v>186497</v>
      </c>
      <c r="H733" s="26">
        <v>1</v>
      </c>
      <c r="I733" s="28">
        <v>45587</v>
      </c>
      <c r="J733" s="27" t="s">
        <v>1146</v>
      </c>
    </row>
    <row r="734" spans="1:10" thickTop="1" thickBot="1" x14ac:dyDescent="0.6">
      <c r="A734" s="15">
        <v>733</v>
      </c>
      <c r="B734" s="16">
        <v>1150495</v>
      </c>
      <c r="C734" s="4" t="s">
        <v>1147</v>
      </c>
      <c r="D734" s="25" t="s">
        <v>230</v>
      </c>
      <c r="E734" s="25" t="s">
        <v>43</v>
      </c>
      <c r="F734" s="4" t="s">
        <v>1148</v>
      </c>
      <c r="G734" s="4">
        <v>135403</v>
      </c>
      <c r="H734" s="26">
        <v>1</v>
      </c>
      <c r="I734" s="28">
        <v>45125</v>
      </c>
    </row>
    <row r="735" spans="1:10" thickTop="1" thickBot="1" x14ac:dyDescent="0.6">
      <c r="A735" s="15">
        <v>734</v>
      </c>
      <c r="B735" s="16">
        <v>1150351</v>
      </c>
      <c r="C735" s="4" t="s">
        <v>1149</v>
      </c>
      <c r="D735" s="25" t="s">
        <v>1150</v>
      </c>
      <c r="E735" s="25" t="s">
        <v>6</v>
      </c>
      <c r="F735" s="4">
        <v>717958273</v>
      </c>
      <c r="G735" s="4">
        <v>218862</v>
      </c>
      <c r="H735" s="26">
        <v>1</v>
      </c>
      <c r="I735" s="28">
        <v>44760</v>
      </c>
      <c r="J735" s="27" t="s">
        <v>1151</v>
      </c>
    </row>
    <row r="736" spans="1:10" thickTop="1" thickBot="1" x14ac:dyDescent="0.6">
      <c r="A736" s="15">
        <v>735</v>
      </c>
    </row>
    <row r="737" spans="1:10" thickTop="1" thickBot="1" x14ac:dyDescent="0.6">
      <c r="A737" s="15">
        <v>736</v>
      </c>
      <c r="I737" s="28"/>
    </row>
    <row r="738" spans="1:10" thickTop="1" thickBot="1" x14ac:dyDescent="0.6">
      <c r="A738" s="15">
        <v>737</v>
      </c>
      <c r="B738" s="16">
        <v>1150510</v>
      </c>
      <c r="C738" s="4" t="s">
        <v>1152</v>
      </c>
      <c r="D738" s="25" t="s">
        <v>1153</v>
      </c>
      <c r="E738" s="25" t="s">
        <v>57</v>
      </c>
      <c r="F738" s="4" t="s">
        <v>1154</v>
      </c>
      <c r="G738" s="4" t="s">
        <v>1155</v>
      </c>
      <c r="H738" s="26">
        <v>2</v>
      </c>
      <c r="I738" s="28">
        <v>45216</v>
      </c>
      <c r="J738" s="27">
        <v>197414202727</v>
      </c>
    </row>
    <row r="739" spans="1:10" thickTop="1" thickBot="1" x14ac:dyDescent="0.6">
      <c r="A739" s="15">
        <v>738</v>
      </c>
      <c r="B739" s="16">
        <v>1150845</v>
      </c>
      <c r="C739" s="4" t="s">
        <v>2957</v>
      </c>
      <c r="D739" s="25" t="s">
        <v>1156</v>
      </c>
      <c r="E739" s="25" t="s">
        <v>43</v>
      </c>
      <c r="F739" s="4">
        <v>772813540</v>
      </c>
      <c r="G739" s="4">
        <v>154321</v>
      </c>
      <c r="H739" s="26">
        <v>1</v>
      </c>
      <c r="I739" s="28">
        <v>45560</v>
      </c>
      <c r="J739" s="27" t="s">
        <v>1157</v>
      </c>
    </row>
    <row r="740" spans="1:10" thickTop="1" thickBot="1" x14ac:dyDescent="0.6">
      <c r="A740" s="15">
        <v>739</v>
      </c>
      <c r="B740" s="16">
        <v>1151258</v>
      </c>
      <c r="C740" s="4" t="s">
        <v>1158</v>
      </c>
      <c r="D740" s="25" t="s">
        <v>1159</v>
      </c>
      <c r="E740" s="25" t="s">
        <v>43</v>
      </c>
      <c r="F740" s="4">
        <v>776361394</v>
      </c>
      <c r="G740" s="4">
        <v>210404</v>
      </c>
      <c r="H740" s="26">
        <v>1</v>
      </c>
      <c r="I740" s="28">
        <v>45609</v>
      </c>
      <c r="J740" s="27" t="s">
        <v>1160</v>
      </c>
    </row>
    <row r="741" spans="1:10" thickTop="1" thickBot="1" x14ac:dyDescent="0.6">
      <c r="A741" s="15">
        <v>740</v>
      </c>
      <c r="B741" s="16">
        <v>1150608</v>
      </c>
      <c r="C741" s="4" t="s">
        <v>1161</v>
      </c>
      <c r="D741" s="25" t="s">
        <v>1162</v>
      </c>
      <c r="E741" s="25" t="s">
        <v>238</v>
      </c>
      <c r="F741" s="4" t="s">
        <v>1163</v>
      </c>
      <c r="G741" s="4" t="str">
        <f>"0"&amp;94485</f>
        <v>094485</v>
      </c>
      <c r="H741" s="26">
        <v>1</v>
      </c>
      <c r="I741" s="28">
        <v>45304</v>
      </c>
      <c r="J741" s="27">
        <v>194912303303</v>
      </c>
    </row>
    <row r="742" spans="1:10" thickTop="1" thickBot="1" x14ac:dyDescent="0.6">
      <c r="A742" s="15">
        <v>741</v>
      </c>
      <c r="B742" s="16">
        <v>1151591</v>
      </c>
      <c r="C742" s="4" t="s">
        <v>3379</v>
      </c>
      <c r="D742" s="25" t="s">
        <v>3380</v>
      </c>
      <c r="E742" s="25" t="s">
        <v>78</v>
      </c>
      <c r="F742" s="4" t="s">
        <v>3381</v>
      </c>
      <c r="G742" s="4">
        <v>853617</v>
      </c>
      <c r="H742" s="26">
        <v>1</v>
      </c>
      <c r="I742" s="28">
        <v>45927</v>
      </c>
      <c r="J742" s="27" t="s">
        <v>3382</v>
      </c>
    </row>
    <row r="743" spans="1:10" thickTop="1" thickBot="1" x14ac:dyDescent="0.6">
      <c r="A743" s="15">
        <v>742</v>
      </c>
      <c r="B743" s="16">
        <v>1151321</v>
      </c>
      <c r="C743" s="4" t="s">
        <v>1164</v>
      </c>
      <c r="D743" s="25" t="s">
        <v>1153</v>
      </c>
      <c r="E743" s="25" t="s">
        <v>57</v>
      </c>
      <c r="F743" s="4" t="s">
        <v>1165</v>
      </c>
      <c r="G743" s="4">
        <v>305501</v>
      </c>
      <c r="H743" s="26">
        <v>1</v>
      </c>
      <c r="I743" s="28">
        <v>45624</v>
      </c>
      <c r="J743" s="27" t="s">
        <v>1166</v>
      </c>
    </row>
    <row r="744" spans="1:10" thickTop="1" thickBot="1" x14ac:dyDescent="0.6">
      <c r="A744" s="15">
        <v>743</v>
      </c>
      <c r="B744" s="16">
        <v>1150357</v>
      </c>
      <c r="C744" s="4" t="s">
        <v>1167</v>
      </c>
      <c r="E744" s="25" t="s">
        <v>573</v>
      </c>
      <c r="F744" s="4">
        <v>719261144</v>
      </c>
      <c r="G744" s="4">
        <v>308564</v>
      </c>
      <c r="H744" s="26">
        <v>1</v>
      </c>
      <c r="I744" s="28">
        <v>44783</v>
      </c>
      <c r="J744" s="27" t="s">
        <v>1168</v>
      </c>
    </row>
    <row r="745" spans="1:10" thickTop="1" thickBot="1" x14ac:dyDescent="0.6">
      <c r="A745" s="15">
        <v>744</v>
      </c>
      <c r="B745" s="16">
        <v>1150135</v>
      </c>
      <c r="C745" s="4" t="s">
        <v>1169</v>
      </c>
      <c r="D745" s="25" t="s">
        <v>1170</v>
      </c>
      <c r="E745" s="25" t="s">
        <v>50</v>
      </c>
      <c r="F745" s="4">
        <v>512222450</v>
      </c>
      <c r="G745" s="4">
        <v>798757</v>
      </c>
      <c r="H745" s="26">
        <v>1</v>
      </c>
    </row>
    <row r="746" spans="1:10" thickTop="1" thickBot="1" x14ac:dyDescent="0.6">
      <c r="A746" s="15">
        <v>745</v>
      </c>
      <c r="B746" s="16">
        <v>1150721</v>
      </c>
      <c r="C746" s="4" t="s">
        <v>1171</v>
      </c>
      <c r="D746" s="25" t="s">
        <v>1172</v>
      </c>
      <c r="E746" s="25" t="s">
        <v>43</v>
      </c>
      <c r="F746" s="4">
        <v>768561700</v>
      </c>
      <c r="G746" s="4">
        <v>115967</v>
      </c>
      <c r="H746" s="26">
        <v>1</v>
      </c>
      <c r="I746" s="28">
        <v>45485</v>
      </c>
      <c r="J746" s="27" t="s">
        <v>1173</v>
      </c>
    </row>
    <row r="747" spans="1:10" thickTop="1" thickBot="1" x14ac:dyDescent="0.6">
      <c r="A747" s="15">
        <v>746</v>
      </c>
      <c r="I747" s="28"/>
    </row>
    <row r="748" spans="1:10" thickTop="1" thickBot="1" x14ac:dyDescent="0.6">
      <c r="A748" s="15">
        <v>747</v>
      </c>
      <c r="B748" s="16">
        <v>1151547</v>
      </c>
      <c r="C748" s="4" t="s">
        <v>1174</v>
      </c>
      <c r="D748" s="25" t="s">
        <v>706</v>
      </c>
      <c r="E748" s="25" t="s">
        <v>238</v>
      </c>
      <c r="F748" s="4">
        <v>766787558</v>
      </c>
      <c r="G748" s="4">
        <v>317283</v>
      </c>
      <c r="H748" s="26">
        <v>1</v>
      </c>
      <c r="I748" s="28">
        <v>45587</v>
      </c>
      <c r="J748" s="27" t="s">
        <v>1175</v>
      </c>
    </row>
    <row r="749" spans="1:10" thickTop="1" thickBot="1" x14ac:dyDescent="0.6">
      <c r="A749" s="15">
        <v>748</v>
      </c>
      <c r="B749" s="16">
        <v>1150360</v>
      </c>
      <c r="C749" s="4" t="s">
        <v>1176</v>
      </c>
      <c r="D749" s="25" t="s">
        <v>740</v>
      </c>
      <c r="E749" s="25" t="s">
        <v>23</v>
      </c>
      <c r="F749" s="4" t="s">
        <v>1177</v>
      </c>
      <c r="G749" s="4">
        <v>735759</v>
      </c>
      <c r="H749" s="26">
        <v>1</v>
      </c>
      <c r="I749" s="28">
        <v>44806</v>
      </c>
      <c r="J749" s="27" t="s">
        <v>1178</v>
      </c>
    </row>
    <row r="750" spans="1:10" thickTop="1" thickBot="1" x14ac:dyDescent="0.6">
      <c r="A750" s="15">
        <v>749</v>
      </c>
      <c r="I750" s="28"/>
    </row>
    <row r="751" spans="1:10" thickTop="1" thickBot="1" x14ac:dyDescent="0.6">
      <c r="A751" s="15">
        <v>750</v>
      </c>
      <c r="B751" s="16">
        <v>1150361</v>
      </c>
      <c r="C751" s="4" t="s">
        <v>1179</v>
      </c>
      <c r="D751" s="25" t="s">
        <v>39</v>
      </c>
      <c r="E751" s="25" t="s">
        <v>238</v>
      </c>
      <c r="F751" s="4" t="s">
        <v>1180</v>
      </c>
      <c r="G751" s="4">
        <v>644340</v>
      </c>
      <c r="H751" s="26">
        <v>1</v>
      </c>
      <c r="I751" s="28">
        <v>44807</v>
      </c>
      <c r="J751" s="27" t="s">
        <v>1181</v>
      </c>
    </row>
    <row r="752" spans="1:10" thickTop="1" thickBot="1" x14ac:dyDescent="0.6">
      <c r="A752" s="15">
        <v>751</v>
      </c>
      <c r="B752" s="16">
        <v>1150724</v>
      </c>
      <c r="C752" s="4" t="s">
        <v>1182</v>
      </c>
      <c r="D752" s="25" t="s">
        <v>1183</v>
      </c>
      <c r="E752" s="25" t="s">
        <v>57</v>
      </c>
      <c r="F752" s="4" t="s">
        <v>1184</v>
      </c>
      <c r="G752" s="4" t="s">
        <v>1185</v>
      </c>
      <c r="H752" s="26">
        <v>2</v>
      </c>
      <c r="I752" s="28">
        <v>45483</v>
      </c>
      <c r="J752" s="27" t="s">
        <v>1186</v>
      </c>
    </row>
    <row r="753" spans="1:10" thickTop="1" thickBot="1" x14ac:dyDescent="0.6">
      <c r="A753" s="15">
        <v>752</v>
      </c>
      <c r="B753" s="16">
        <v>1151332</v>
      </c>
      <c r="C753" s="4" t="s">
        <v>1187</v>
      </c>
      <c r="D753" s="25" t="s">
        <v>859</v>
      </c>
      <c r="E753" s="25" t="s">
        <v>238</v>
      </c>
      <c r="F753" s="4" t="s">
        <v>1188</v>
      </c>
      <c r="G753" s="4">
        <v>173362</v>
      </c>
      <c r="H753" s="26">
        <v>1</v>
      </c>
      <c r="I753" s="28">
        <v>45630</v>
      </c>
      <c r="J753" s="27" t="s">
        <v>1189</v>
      </c>
    </row>
    <row r="754" spans="1:10" thickTop="1" thickBot="1" x14ac:dyDescent="0.6">
      <c r="A754" s="15">
        <v>753</v>
      </c>
      <c r="B754" s="16">
        <v>1151053</v>
      </c>
      <c r="C754" s="4" t="s">
        <v>1190</v>
      </c>
      <c r="D754" s="25" t="s">
        <v>812</v>
      </c>
      <c r="E754" s="25" t="s">
        <v>6</v>
      </c>
      <c r="F754" s="4">
        <v>769170679</v>
      </c>
      <c r="G754" s="4">
        <v>189798</v>
      </c>
      <c r="H754" s="26">
        <v>1</v>
      </c>
      <c r="I754" s="28">
        <v>45600</v>
      </c>
      <c r="J754" s="27" t="s">
        <v>1191</v>
      </c>
    </row>
    <row r="755" spans="1:10" thickTop="1" thickBot="1" x14ac:dyDescent="0.6">
      <c r="A755" s="15">
        <v>754</v>
      </c>
      <c r="B755" s="16">
        <v>1151550</v>
      </c>
      <c r="C755" s="4" t="s">
        <v>1192</v>
      </c>
      <c r="D755" s="25" t="s">
        <v>1193</v>
      </c>
      <c r="E755" s="25" t="s">
        <v>63</v>
      </c>
      <c r="F755" s="4">
        <v>512222331</v>
      </c>
      <c r="G755" s="4">
        <v>970299</v>
      </c>
      <c r="H755" s="26">
        <v>1</v>
      </c>
    </row>
    <row r="756" spans="1:10" thickTop="1" thickBot="1" x14ac:dyDescent="0.6">
      <c r="A756" s="15">
        <v>755</v>
      </c>
      <c r="B756" s="16">
        <v>1150329</v>
      </c>
      <c r="C756" s="4" t="s">
        <v>1194</v>
      </c>
      <c r="D756" s="25" t="s">
        <v>1193</v>
      </c>
      <c r="E756" s="25" t="s">
        <v>63</v>
      </c>
      <c r="F756" s="4">
        <v>773871288</v>
      </c>
      <c r="G756" s="4">
        <v>621388</v>
      </c>
      <c r="H756" s="26">
        <v>1</v>
      </c>
      <c r="I756" s="28">
        <v>45455</v>
      </c>
    </row>
    <row r="757" spans="1:10" thickTop="1" thickBot="1" x14ac:dyDescent="0.6">
      <c r="A757" s="15">
        <v>756</v>
      </c>
      <c r="B757" s="16">
        <v>1151119</v>
      </c>
      <c r="C757" s="4" t="s">
        <v>3284</v>
      </c>
      <c r="D757" s="25" t="s">
        <v>1195</v>
      </c>
      <c r="E757" s="25" t="s">
        <v>43</v>
      </c>
      <c r="F757" s="4">
        <v>773502681</v>
      </c>
      <c r="G757" s="4" t="s">
        <v>3283</v>
      </c>
      <c r="H757" s="26">
        <v>3</v>
      </c>
      <c r="I757" s="28">
        <v>45604</v>
      </c>
    </row>
    <row r="758" spans="1:10" thickTop="1" thickBot="1" x14ac:dyDescent="0.6">
      <c r="A758" s="15">
        <v>757</v>
      </c>
    </row>
    <row r="759" spans="1:10" thickTop="1" thickBot="1" x14ac:dyDescent="0.6">
      <c r="A759" s="15">
        <v>758</v>
      </c>
      <c r="B759" s="16">
        <v>1150766</v>
      </c>
      <c r="C759" s="4" t="s">
        <v>1196</v>
      </c>
      <c r="D759" s="25" t="s">
        <v>1197</v>
      </c>
      <c r="E759" s="25" t="s">
        <v>43</v>
      </c>
      <c r="F759" s="4" t="s">
        <v>1198</v>
      </c>
      <c r="G759" s="4">
        <v>100837</v>
      </c>
      <c r="H759" s="26">
        <v>1</v>
      </c>
      <c r="I759" s="28">
        <v>45518</v>
      </c>
      <c r="J759" s="27" t="s">
        <v>1199</v>
      </c>
    </row>
    <row r="760" spans="1:10" thickTop="1" thickBot="1" x14ac:dyDescent="0.6">
      <c r="A760" s="15">
        <v>759</v>
      </c>
      <c r="B760" s="16">
        <v>1151013</v>
      </c>
      <c r="C760" s="4" t="s">
        <v>1200</v>
      </c>
      <c r="E760" s="25" t="s">
        <v>23</v>
      </c>
      <c r="F760" s="4" t="s">
        <v>1201</v>
      </c>
      <c r="G760" s="4">
        <v>405319</v>
      </c>
      <c r="H760" s="26">
        <v>1</v>
      </c>
      <c r="I760" s="28">
        <v>45592</v>
      </c>
      <c r="J760" s="27" t="s">
        <v>1202</v>
      </c>
    </row>
    <row r="761" spans="1:10" thickTop="1" thickBot="1" x14ac:dyDescent="0.6">
      <c r="A761" s="15">
        <v>760</v>
      </c>
    </row>
    <row r="762" spans="1:10" thickTop="1" thickBot="1" x14ac:dyDescent="0.6">
      <c r="A762" s="15">
        <v>761</v>
      </c>
    </row>
    <row r="763" spans="1:10" thickTop="1" thickBot="1" x14ac:dyDescent="0.6">
      <c r="A763" s="15">
        <v>762</v>
      </c>
      <c r="B763" s="16">
        <v>1150740</v>
      </c>
      <c r="C763" s="4" t="s">
        <v>1203</v>
      </c>
      <c r="E763" s="25" t="s">
        <v>17</v>
      </c>
      <c r="F763" s="4">
        <v>766511337</v>
      </c>
      <c r="G763" s="4" t="str">
        <f>"0"&amp;97603</f>
        <v>097603</v>
      </c>
      <c r="H763" s="26">
        <v>1</v>
      </c>
      <c r="I763" s="28">
        <v>45492</v>
      </c>
      <c r="J763" s="27">
        <v>196902101947</v>
      </c>
    </row>
    <row r="764" spans="1:10" thickTop="1" thickBot="1" x14ac:dyDescent="0.6">
      <c r="A764" s="15">
        <v>763</v>
      </c>
      <c r="B764" s="16">
        <v>1150571</v>
      </c>
      <c r="C764" s="4" t="s">
        <v>1204</v>
      </c>
      <c r="D764" s="25" t="s">
        <v>458</v>
      </c>
      <c r="E764" s="25" t="s">
        <v>249</v>
      </c>
      <c r="F764" s="4" t="s">
        <v>1205</v>
      </c>
      <c r="G764" s="4">
        <v>92547</v>
      </c>
      <c r="H764" s="26">
        <v>1</v>
      </c>
      <c r="I764" s="28">
        <v>45593</v>
      </c>
      <c r="J764" s="27">
        <v>199832610937</v>
      </c>
    </row>
    <row r="765" spans="1:10" thickTop="1" thickBot="1" x14ac:dyDescent="0.6">
      <c r="A765" s="15">
        <v>764</v>
      </c>
      <c r="B765" s="16">
        <v>1150370</v>
      </c>
      <c r="C765" s="4" t="s">
        <v>1206</v>
      </c>
      <c r="D765" s="25" t="s">
        <v>1207</v>
      </c>
      <c r="E765" s="25" t="s">
        <v>6</v>
      </c>
      <c r="F765" s="4" t="s">
        <v>1208</v>
      </c>
      <c r="G765" s="4">
        <v>283403</v>
      </c>
      <c r="H765" s="26">
        <v>1</v>
      </c>
      <c r="I765" s="28">
        <v>44834</v>
      </c>
      <c r="J765" s="27" t="s">
        <v>1209</v>
      </c>
    </row>
    <row r="766" spans="1:10" thickTop="1" thickBot="1" x14ac:dyDescent="0.6">
      <c r="A766" s="15">
        <v>765</v>
      </c>
      <c r="B766" s="16">
        <v>1150368</v>
      </c>
      <c r="C766" s="4" t="s">
        <v>1210</v>
      </c>
      <c r="D766" s="25" t="s">
        <v>1211</v>
      </c>
      <c r="E766" s="25" t="s">
        <v>43</v>
      </c>
      <c r="F766" s="4">
        <v>768884080</v>
      </c>
      <c r="G766" s="4">
        <v>242367</v>
      </c>
      <c r="H766" s="26">
        <v>1</v>
      </c>
      <c r="I766" s="28">
        <v>44835</v>
      </c>
      <c r="J766" s="27" t="s">
        <v>1212</v>
      </c>
    </row>
    <row r="767" spans="1:10" thickTop="1" thickBot="1" x14ac:dyDescent="0.6">
      <c r="A767" s="15">
        <v>766</v>
      </c>
      <c r="B767" s="16">
        <v>1151049</v>
      </c>
      <c r="C767" s="4" t="s">
        <v>1213</v>
      </c>
      <c r="D767" s="25" t="s">
        <v>47</v>
      </c>
      <c r="E767" s="25" t="s">
        <v>17</v>
      </c>
      <c r="F767" s="4" t="s">
        <v>1214</v>
      </c>
      <c r="G767" s="4">
        <v>341886</v>
      </c>
      <c r="H767" s="26">
        <v>1</v>
      </c>
      <c r="I767" s="28">
        <v>45600</v>
      </c>
      <c r="J767" s="27">
        <v>195007005426</v>
      </c>
    </row>
    <row r="768" spans="1:10" thickTop="1" thickBot="1" x14ac:dyDescent="0.6">
      <c r="A768" s="15">
        <v>767</v>
      </c>
      <c r="B768" s="16">
        <v>1150753</v>
      </c>
      <c r="C768" s="4" t="s">
        <v>1215</v>
      </c>
      <c r="D768" s="25" t="s">
        <v>1216</v>
      </c>
      <c r="E768" s="25" t="s">
        <v>43</v>
      </c>
      <c r="F768" s="4">
        <v>714764408</v>
      </c>
      <c r="G768" s="4" t="str">
        <f>"0"&amp;32238</f>
        <v>032238</v>
      </c>
      <c r="H768" s="26">
        <v>1</v>
      </c>
      <c r="I768" s="28">
        <v>45497</v>
      </c>
      <c r="J768" s="27" t="s">
        <v>1217</v>
      </c>
    </row>
    <row r="769" spans="1:10" thickTop="1" thickBot="1" x14ac:dyDescent="0.6">
      <c r="A769" s="15">
        <v>768</v>
      </c>
      <c r="B769" s="16">
        <v>1150862</v>
      </c>
      <c r="C769" s="4" t="s">
        <v>1218</v>
      </c>
      <c r="D769" s="25" t="s">
        <v>1219</v>
      </c>
      <c r="E769" s="25" t="s">
        <v>249</v>
      </c>
      <c r="F769" s="4" t="s">
        <v>1220</v>
      </c>
      <c r="G769" s="4">
        <v>348139</v>
      </c>
      <c r="H769" s="26">
        <v>1</v>
      </c>
      <c r="I769" s="28">
        <v>45568</v>
      </c>
      <c r="J769" s="27" t="s">
        <v>1221</v>
      </c>
    </row>
    <row r="770" spans="1:10" thickTop="1" thickBot="1" x14ac:dyDescent="0.6">
      <c r="A770" s="15">
        <v>769</v>
      </c>
    </row>
    <row r="771" spans="1:10" thickTop="1" thickBot="1" x14ac:dyDescent="0.6">
      <c r="A771" s="15">
        <v>770</v>
      </c>
      <c r="B771" s="16">
        <v>1151198</v>
      </c>
      <c r="C771" s="4" t="s">
        <v>1222</v>
      </c>
      <c r="D771" s="25" t="s">
        <v>403</v>
      </c>
      <c r="E771" s="25" t="s">
        <v>238</v>
      </c>
      <c r="F771" s="4" t="s">
        <v>1223</v>
      </c>
      <c r="G771" s="4">
        <v>411291</v>
      </c>
      <c r="H771" s="26">
        <v>1</v>
      </c>
      <c r="I771" s="28">
        <v>45607</v>
      </c>
      <c r="J771" s="27" t="s">
        <v>1224</v>
      </c>
    </row>
    <row r="772" spans="1:10" thickTop="1" thickBot="1" x14ac:dyDescent="0.6">
      <c r="A772" s="15">
        <v>771</v>
      </c>
      <c r="B772" s="16">
        <v>1151213</v>
      </c>
      <c r="C772" s="4" t="s">
        <v>1225</v>
      </c>
      <c r="D772" s="25" t="s">
        <v>81</v>
      </c>
      <c r="E772" s="25" t="s">
        <v>63</v>
      </c>
      <c r="F772" s="4" t="s">
        <v>1226</v>
      </c>
      <c r="G772" s="4">
        <v>386055</v>
      </c>
      <c r="H772" s="26">
        <v>1</v>
      </c>
      <c r="I772" s="28">
        <v>45607</v>
      </c>
      <c r="J772" s="27" t="s">
        <v>1227</v>
      </c>
    </row>
    <row r="773" spans="1:10" thickTop="1" thickBot="1" x14ac:dyDescent="0.6">
      <c r="A773" s="15">
        <v>772</v>
      </c>
    </row>
    <row r="774" spans="1:10" thickTop="1" thickBot="1" x14ac:dyDescent="0.6">
      <c r="A774" s="15">
        <v>773</v>
      </c>
      <c r="B774" s="16">
        <v>1150371</v>
      </c>
      <c r="C774" s="4" t="s">
        <v>1228</v>
      </c>
      <c r="D774" s="25" t="s">
        <v>1229</v>
      </c>
      <c r="E774" s="25" t="s">
        <v>78</v>
      </c>
      <c r="F774" s="4">
        <v>777747129</v>
      </c>
      <c r="G774" s="4">
        <v>657284</v>
      </c>
      <c r="H774" s="26">
        <v>1</v>
      </c>
      <c r="I774" s="28">
        <v>44847</v>
      </c>
      <c r="J774" s="27" t="s">
        <v>1230</v>
      </c>
    </row>
    <row r="775" spans="1:10" thickTop="1" thickBot="1" x14ac:dyDescent="0.6">
      <c r="A775" s="15">
        <v>774</v>
      </c>
      <c r="B775" s="16">
        <v>1150546</v>
      </c>
      <c r="C775" s="4" t="s">
        <v>1231</v>
      </c>
      <c r="D775" s="25" t="s">
        <v>1232</v>
      </c>
      <c r="E775" s="25" t="s">
        <v>23</v>
      </c>
      <c r="F775" s="4">
        <v>767455609</v>
      </c>
      <c r="G775" s="4">
        <v>419161</v>
      </c>
      <c r="H775" s="26">
        <v>1</v>
      </c>
    </row>
    <row r="776" spans="1:10" thickTop="1" thickBot="1" x14ac:dyDescent="0.6">
      <c r="A776" s="15">
        <v>775</v>
      </c>
    </row>
    <row r="777" spans="1:10" thickTop="1" thickBot="1" x14ac:dyDescent="0.6">
      <c r="A777" s="15">
        <v>776</v>
      </c>
      <c r="B777" s="16">
        <v>1150998</v>
      </c>
      <c r="C777" s="4" t="s">
        <v>1233</v>
      </c>
      <c r="D777" s="25" t="s">
        <v>159</v>
      </c>
      <c r="E777" s="25" t="s">
        <v>43</v>
      </c>
      <c r="F777" s="4">
        <v>776002692</v>
      </c>
      <c r="G777" s="4">
        <v>263320</v>
      </c>
      <c r="H777" s="26">
        <v>1</v>
      </c>
      <c r="I777" s="28">
        <v>45591</v>
      </c>
      <c r="J777" s="27" t="s">
        <v>1234</v>
      </c>
    </row>
    <row r="778" spans="1:10" thickTop="1" thickBot="1" x14ac:dyDescent="0.6">
      <c r="A778" s="15">
        <v>777</v>
      </c>
      <c r="B778" s="16">
        <v>1150373</v>
      </c>
      <c r="C778" s="4" t="s">
        <v>1235</v>
      </c>
      <c r="D778" s="25" t="s">
        <v>299</v>
      </c>
      <c r="E778" s="25" t="s">
        <v>238</v>
      </c>
      <c r="F778" s="4">
        <v>779555013</v>
      </c>
      <c r="G778" s="4">
        <v>709804</v>
      </c>
      <c r="H778" s="26">
        <v>1</v>
      </c>
      <c r="I778" s="28">
        <v>44850</v>
      </c>
      <c r="J778" s="27" t="s">
        <v>1236</v>
      </c>
    </row>
    <row r="779" spans="1:10" thickTop="1" thickBot="1" x14ac:dyDescent="0.6">
      <c r="A779" s="15">
        <v>778</v>
      </c>
      <c r="I779" s="28"/>
    </row>
    <row r="780" spans="1:10" thickTop="1" thickBot="1" x14ac:dyDescent="0.6">
      <c r="A780" s="15">
        <v>779</v>
      </c>
    </row>
    <row r="781" spans="1:10" thickTop="1" thickBot="1" x14ac:dyDescent="0.6">
      <c r="A781" s="15">
        <v>780</v>
      </c>
      <c r="I781" s="28"/>
    </row>
    <row r="782" spans="1:10" thickTop="1" thickBot="1" x14ac:dyDescent="0.6">
      <c r="A782" s="15">
        <v>781</v>
      </c>
      <c r="B782" s="16">
        <v>1150375</v>
      </c>
      <c r="C782" s="4" t="s">
        <v>1237</v>
      </c>
      <c r="D782" s="25" t="s">
        <v>1238</v>
      </c>
      <c r="E782" s="25" t="s">
        <v>63</v>
      </c>
      <c r="F782" s="4">
        <v>773766708</v>
      </c>
      <c r="G782" s="4">
        <v>627576</v>
      </c>
      <c r="H782" s="26">
        <v>1</v>
      </c>
      <c r="I782" s="28">
        <v>44856</v>
      </c>
      <c r="J782" s="27" t="s">
        <v>1239</v>
      </c>
    </row>
    <row r="783" spans="1:10" thickTop="1" thickBot="1" x14ac:dyDescent="0.6">
      <c r="A783" s="15">
        <v>782</v>
      </c>
      <c r="B783" s="16">
        <v>1150586</v>
      </c>
      <c r="C783" s="4" t="s">
        <v>1240</v>
      </c>
      <c r="D783" s="25" t="s">
        <v>1241</v>
      </c>
      <c r="E783" s="25" t="s">
        <v>238</v>
      </c>
      <c r="F783" s="4" t="s">
        <v>1242</v>
      </c>
      <c r="G783" s="4" t="s">
        <v>1243</v>
      </c>
      <c r="H783" s="26">
        <v>2</v>
      </c>
      <c r="I783" s="28">
        <v>45328</v>
      </c>
      <c r="J783" s="27" t="s">
        <v>1244</v>
      </c>
    </row>
    <row r="784" spans="1:10" thickTop="1" thickBot="1" x14ac:dyDescent="0.6">
      <c r="A784" s="15">
        <v>783</v>
      </c>
      <c r="B784" s="16">
        <v>1151080</v>
      </c>
      <c r="C784" s="4" t="s">
        <v>1245</v>
      </c>
      <c r="D784" s="25" t="s">
        <v>1195</v>
      </c>
      <c r="E784" s="25" t="s">
        <v>23</v>
      </c>
      <c r="F784" s="4">
        <v>778327175</v>
      </c>
      <c r="G784" s="4">
        <v>353352</v>
      </c>
      <c r="H784" s="26">
        <v>1</v>
      </c>
      <c r="I784" s="28">
        <v>45602</v>
      </c>
      <c r="J784" s="27" t="s">
        <v>1246</v>
      </c>
    </row>
    <row r="785" spans="1:10" thickTop="1" thickBot="1" x14ac:dyDescent="0.6">
      <c r="A785" s="15">
        <v>784</v>
      </c>
      <c r="I785" s="28"/>
    </row>
    <row r="786" spans="1:10" thickTop="1" thickBot="1" x14ac:dyDescent="0.6">
      <c r="A786" s="15">
        <v>785</v>
      </c>
      <c r="B786" s="16">
        <v>1150377</v>
      </c>
      <c r="C786" s="4" t="s">
        <v>1247</v>
      </c>
      <c r="D786" s="25" t="s">
        <v>224</v>
      </c>
      <c r="E786" s="25" t="s">
        <v>43</v>
      </c>
      <c r="F786" s="4">
        <v>772977500</v>
      </c>
      <c r="G786" s="4">
        <v>713475</v>
      </c>
      <c r="H786" s="26">
        <v>1</v>
      </c>
      <c r="I786" s="28">
        <v>44864</v>
      </c>
      <c r="J786" s="27">
        <v>200013903184</v>
      </c>
    </row>
    <row r="787" spans="1:10" thickTop="1" thickBot="1" x14ac:dyDescent="0.6">
      <c r="A787" s="15">
        <v>786</v>
      </c>
      <c r="B787" s="16">
        <v>1150429</v>
      </c>
      <c r="C787" s="4" t="s">
        <v>1248</v>
      </c>
      <c r="D787" s="25" t="s">
        <v>611</v>
      </c>
      <c r="E787" s="25" t="s">
        <v>23</v>
      </c>
      <c r="F787" s="4">
        <v>777075701</v>
      </c>
      <c r="G787" s="4">
        <v>136344</v>
      </c>
      <c r="H787" s="26">
        <v>1</v>
      </c>
      <c r="I787" s="28">
        <v>45505</v>
      </c>
      <c r="J787" s="27">
        <v>196323402225</v>
      </c>
    </row>
    <row r="788" spans="1:10" thickTop="1" thickBot="1" x14ac:dyDescent="0.6">
      <c r="A788" s="15">
        <v>787</v>
      </c>
      <c r="B788" s="16">
        <v>1151498</v>
      </c>
      <c r="C788" s="4" t="s">
        <v>3044</v>
      </c>
      <c r="D788" s="25" t="s">
        <v>232</v>
      </c>
      <c r="E788" s="25" t="s">
        <v>3045</v>
      </c>
      <c r="F788" s="4">
        <v>715439109</v>
      </c>
      <c r="G788" s="4">
        <v>385826</v>
      </c>
      <c r="H788" s="26">
        <v>1</v>
      </c>
      <c r="I788" s="28">
        <v>45772</v>
      </c>
      <c r="J788" s="27" t="s">
        <v>3046</v>
      </c>
    </row>
    <row r="789" spans="1:10" thickTop="1" thickBot="1" x14ac:dyDescent="0.6">
      <c r="A789" s="15">
        <v>788</v>
      </c>
      <c r="B789" s="16">
        <v>1151322</v>
      </c>
      <c r="C789" s="4" t="s">
        <v>1250</v>
      </c>
      <c r="D789" s="25" t="s">
        <v>1251</v>
      </c>
      <c r="E789" s="25" t="s">
        <v>238</v>
      </c>
      <c r="F789" s="4">
        <v>779628840</v>
      </c>
      <c r="G789" s="4">
        <v>289796</v>
      </c>
      <c r="H789" s="26">
        <v>1</v>
      </c>
      <c r="I789" s="28">
        <v>45625</v>
      </c>
      <c r="J789" s="27" t="s">
        <v>1252</v>
      </c>
    </row>
    <row r="790" spans="1:10" thickTop="1" thickBot="1" x14ac:dyDescent="0.6">
      <c r="A790" s="15">
        <v>789</v>
      </c>
      <c r="B790" s="16">
        <v>1151084</v>
      </c>
      <c r="C790" s="4" t="s">
        <v>1253</v>
      </c>
      <c r="D790" s="25" t="s">
        <v>1254</v>
      </c>
      <c r="E790" s="25" t="s">
        <v>23</v>
      </c>
      <c r="F790" s="4">
        <v>767121401</v>
      </c>
      <c r="G790" s="4">
        <v>201171</v>
      </c>
      <c r="H790" s="26">
        <v>1</v>
      </c>
      <c r="I790" s="28">
        <v>45602</v>
      </c>
      <c r="J790" s="27" t="s">
        <v>1255</v>
      </c>
    </row>
    <row r="791" spans="1:10" thickTop="1" thickBot="1" x14ac:dyDescent="0.6">
      <c r="A791" s="15">
        <v>790</v>
      </c>
    </row>
    <row r="792" spans="1:10" thickTop="1" thickBot="1" x14ac:dyDescent="0.6">
      <c r="A792" s="15">
        <v>791</v>
      </c>
      <c r="B792" s="16">
        <v>1150774</v>
      </c>
      <c r="C792" s="4" t="s">
        <v>1256</v>
      </c>
      <c r="D792" s="25" t="s">
        <v>1257</v>
      </c>
      <c r="E792" s="25" t="s">
        <v>78</v>
      </c>
      <c r="F792" s="4">
        <v>770084989</v>
      </c>
      <c r="G792" s="4">
        <v>151483</v>
      </c>
      <c r="H792" s="26">
        <v>1</v>
      </c>
      <c r="I792" s="28">
        <v>45523</v>
      </c>
      <c r="J792" s="27" t="s">
        <v>1258</v>
      </c>
    </row>
    <row r="793" spans="1:10" thickTop="1" thickBot="1" x14ac:dyDescent="0.6">
      <c r="A793" s="15">
        <v>792</v>
      </c>
    </row>
    <row r="794" spans="1:10" thickTop="1" thickBot="1" x14ac:dyDescent="0.6">
      <c r="A794" s="15">
        <v>793</v>
      </c>
      <c r="B794" s="16">
        <v>1151115</v>
      </c>
      <c r="C794" s="4" t="s">
        <v>1259</v>
      </c>
      <c r="D794" s="25" t="s">
        <v>1260</v>
      </c>
      <c r="E794" s="25" t="s">
        <v>238</v>
      </c>
      <c r="F794" s="4">
        <v>775113533</v>
      </c>
      <c r="G794" s="4">
        <v>346406</v>
      </c>
      <c r="H794" s="26">
        <v>1</v>
      </c>
      <c r="I794" s="28">
        <v>45604</v>
      </c>
      <c r="J794" s="27">
        <v>198069903620</v>
      </c>
    </row>
    <row r="795" spans="1:10" thickTop="1" thickBot="1" x14ac:dyDescent="0.6">
      <c r="A795" s="15">
        <v>794</v>
      </c>
      <c r="B795" s="16">
        <v>1150358</v>
      </c>
      <c r="C795" s="4" t="s">
        <v>1261</v>
      </c>
      <c r="D795" s="25" t="s">
        <v>207</v>
      </c>
      <c r="E795" s="25" t="s">
        <v>43</v>
      </c>
      <c r="F795" s="4">
        <v>771977996</v>
      </c>
      <c r="G795" s="4">
        <v>147598</v>
      </c>
      <c r="H795" s="26">
        <v>1</v>
      </c>
      <c r="I795" s="28">
        <v>45516</v>
      </c>
      <c r="J795" s="27" t="s">
        <v>1262</v>
      </c>
    </row>
    <row r="796" spans="1:10" thickTop="1" thickBot="1" x14ac:dyDescent="0.6">
      <c r="A796" s="15">
        <v>795</v>
      </c>
      <c r="B796" s="16">
        <v>1151395</v>
      </c>
      <c r="C796" s="4" t="s">
        <v>2753</v>
      </c>
      <c r="D796" s="25" t="s">
        <v>2704</v>
      </c>
      <c r="E796" s="25" t="s">
        <v>43</v>
      </c>
      <c r="F796" s="4" t="s">
        <v>2754</v>
      </c>
      <c r="G796" s="4">
        <v>669757</v>
      </c>
      <c r="H796" s="26">
        <v>1</v>
      </c>
      <c r="I796" s="28">
        <v>45708</v>
      </c>
      <c r="J796" s="27" t="s">
        <v>2755</v>
      </c>
    </row>
    <row r="797" spans="1:10" thickTop="1" thickBot="1" x14ac:dyDescent="0.6">
      <c r="A797" s="15">
        <v>796</v>
      </c>
      <c r="B797" s="16">
        <v>1151468</v>
      </c>
      <c r="C797" s="4" t="s">
        <v>2959</v>
      </c>
      <c r="D797" s="25" t="s">
        <v>2960</v>
      </c>
      <c r="E797" s="25" t="s">
        <v>1609</v>
      </c>
      <c r="F797" s="4">
        <v>712050820</v>
      </c>
      <c r="G797" s="4">
        <v>810062</v>
      </c>
      <c r="H797" s="26">
        <v>1</v>
      </c>
      <c r="I797" s="28">
        <v>45757</v>
      </c>
      <c r="J797" s="27" t="s">
        <v>2961</v>
      </c>
    </row>
    <row r="798" spans="1:10" thickTop="1" thickBot="1" x14ac:dyDescent="0.6">
      <c r="A798" s="15">
        <v>797</v>
      </c>
      <c r="B798" s="16">
        <v>1151137</v>
      </c>
      <c r="C798" s="4" t="s">
        <v>1263</v>
      </c>
      <c r="D798" s="25" t="s">
        <v>1264</v>
      </c>
      <c r="E798" s="25" t="s">
        <v>63</v>
      </c>
      <c r="F798" s="4" t="s">
        <v>1265</v>
      </c>
      <c r="G798" s="4">
        <v>389810</v>
      </c>
      <c r="H798" s="26">
        <v>1</v>
      </c>
      <c r="I798" s="28">
        <v>45604</v>
      </c>
      <c r="J798" s="27">
        <v>197030700680</v>
      </c>
    </row>
    <row r="799" spans="1:10" thickTop="1" thickBot="1" x14ac:dyDescent="0.6">
      <c r="A799" s="15">
        <v>798</v>
      </c>
      <c r="B799" s="16">
        <v>1151161</v>
      </c>
      <c r="C799" s="4" t="s">
        <v>1266</v>
      </c>
      <c r="D799" s="25" t="s">
        <v>1267</v>
      </c>
      <c r="E799" s="25" t="s">
        <v>23</v>
      </c>
      <c r="F799" s="4">
        <v>717752030</v>
      </c>
      <c r="G799" s="4">
        <v>384175</v>
      </c>
      <c r="H799" s="26">
        <v>1</v>
      </c>
      <c r="I799" s="28">
        <v>45605</v>
      </c>
    </row>
    <row r="800" spans="1:10" thickTop="1" thickBot="1" x14ac:dyDescent="0.6">
      <c r="A800" s="15">
        <v>799</v>
      </c>
      <c r="B800" s="16">
        <v>1151170</v>
      </c>
      <c r="C800" s="4" t="s">
        <v>1268</v>
      </c>
      <c r="D800" s="25" t="s">
        <v>1269</v>
      </c>
      <c r="E800" s="25" t="s">
        <v>238</v>
      </c>
      <c r="F800" s="4" t="s">
        <v>1270</v>
      </c>
      <c r="G800" s="4">
        <v>209919</v>
      </c>
      <c r="H800" s="26">
        <v>1</v>
      </c>
      <c r="I800" s="28">
        <v>45606</v>
      </c>
      <c r="J800" s="27">
        <v>199016100096</v>
      </c>
    </row>
    <row r="801" spans="1:10" thickTop="1" thickBot="1" x14ac:dyDescent="0.6">
      <c r="A801" s="15">
        <v>800</v>
      </c>
      <c r="B801" s="16">
        <v>1150978</v>
      </c>
      <c r="C801" s="4" t="s">
        <v>3078</v>
      </c>
      <c r="D801" s="25" t="s">
        <v>1271</v>
      </c>
      <c r="E801" s="25" t="s">
        <v>125</v>
      </c>
      <c r="F801" s="4" t="s">
        <v>1272</v>
      </c>
      <c r="G801" s="4">
        <v>223001</v>
      </c>
      <c r="H801" s="26">
        <v>1</v>
      </c>
      <c r="I801" s="28">
        <v>45588</v>
      </c>
      <c r="J801" s="27" t="s">
        <v>1273</v>
      </c>
    </row>
    <row r="802" spans="1:10" thickTop="1" thickBot="1" x14ac:dyDescent="0.6">
      <c r="A802" s="15">
        <v>801</v>
      </c>
      <c r="I802" s="28"/>
    </row>
    <row r="803" spans="1:10" thickTop="1" thickBot="1" x14ac:dyDescent="0.6">
      <c r="A803" s="15">
        <v>802</v>
      </c>
    </row>
    <row r="804" spans="1:10" thickTop="1" thickBot="1" x14ac:dyDescent="0.6">
      <c r="A804" s="15">
        <v>803</v>
      </c>
      <c r="B804" s="16">
        <v>1151240</v>
      </c>
      <c r="C804" s="4" t="s">
        <v>1274</v>
      </c>
      <c r="D804" s="25" t="s">
        <v>176</v>
      </c>
      <c r="E804" s="25" t="s">
        <v>125</v>
      </c>
      <c r="F804" s="4">
        <v>773660473</v>
      </c>
      <c r="G804" s="4">
        <v>239684</v>
      </c>
      <c r="H804" s="26">
        <v>1</v>
      </c>
      <c r="I804" s="28">
        <v>45609</v>
      </c>
      <c r="J804" s="27">
        <v>198506403296</v>
      </c>
    </row>
    <row r="805" spans="1:10" thickTop="1" thickBot="1" x14ac:dyDescent="0.6">
      <c r="A805" s="15">
        <v>804</v>
      </c>
      <c r="B805" s="16">
        <v>1151088</v>
      </c>
      <c r="C805" s="4" t="s">
        <v>1275</v>
      </c>
      <c r="D805" s="25" t="s">
        <v>1276</v>
      </c>
      <c r="E805" s="25" t="s">
        <v>125</v>
      </c>
      <c r="F805" s="4" t="s">
        <v>1277</v>
      </c>
      <c r="G805" s="4">
        <v>239221</v>
      </c>
      <c r="H805" s="26">
        <v>1</v>
      </c>
      <c r="I805" s="28">
        <v>45602</v>
      </c>
      <c r="J805" s="27" t="s">
        <v>1278</v>
      </c>
    </row>
    <row r="806" spans="1:10" thickTop="1" thickBot="1" x14ac:dyDescent="0.6">
      <c r="A806" s="15">
        <v>805</v>
      </c>
      <c r="B806" s="16">
        <v>1151016</v>
      </c>
      <c r="C806" s="4" t="s">
        <v>1279</v>
      </c>
      <c r="D806" s="25" t="s">
        <v>1280</v>
      </c>
      <c r="E806" s="25" t="s">
        <v>125</v>
      </c>
      <c r="F806" s="4">
        <v>710104058</v>
      </c>
      <c r="G806" s="4">
        <v>328073</v>
      </c>
      <c r="H806" s="26">
        <v>1</v>
      </c>
      <c r="I806" s="28">
        <v>45593</v>
      </c>
      <c r="J806" s="27">
        <v>194519600210</v>
      </c>
    </row>
    <row r="807" spans="1:10" thickTop="1" thickBot="1" x14ac:dyDescent="0.6">
      <c r="A807" s="15">
        <v>806</v>
      </c>
      <c r="B807" s="16">
        <v>1151189</v>
      </c>
      <c r="C807" s="4" t="s">
        <v>1281</v>
      </c>
      <c r="D807" s="25" t="s">
        <v>1282</v>
      </c>
      <c r="E807" s="25" t="s">
        <v>23</v>
      </c>
      <c r="F807" s="4" t="s">
        <v>1283</v>
      </c>
      <c r="G807" s="4" t="s">
        <v>3310</v>
      </c>
      <c r="H807" s="26">
        <v>2</v>
      </c>
      <c r="I807" s="28">
        <v>45606</v>
      </c>
      <c r="J807" s="27" t="s">
        <v>1284</v>
      </c>
    </row>
    <row r="808" spans="1:10" thickTop="1" thickBot="1" x14ac:dyDescent="0.6">
      <c r="A808" s="15">
        <v>807</v>
      </c>
    </row>
    <row r="809" spans="1:10" thickTop="1" thickBot="1" x14ac:dyDescent="0.6">
      <c r="A809" s="15">
        <v>808</v>
      </c>
      <c r="B809" s="16">
        <v>1150802</v>
      </c>
      <c r="C809" s="4" t="s">
        <v>1285</v>
      </c>
      <c r="D809" s="25" t="s">
        <v>1286</v>
      </c>
      <c r="E809" s="25" t="s">
        <v>125</v>
      </c>
      <c r="F809" s="4">
        <v>770551042</v>
      </c>
      <c r="G809" s="4">
        <v>154263</v>
      </c>
      <c r="H809" s="26">
        <v>1</v>
      </c>
      <c r="I809" s="28">
        <v>45533</v>
      </c>
      <c r="J809" s="27" t="s">
        <v>1287</v>
      </c>
    </row>
    <row r="810" spans="1:10" thickTop="1" thickBot="1" x14ac:dyDescent="0.6">
      <c r="A810" s="15">
        <v>809</v>
      </c>
    </row>
    <row r="811" spans="1:10" thickTop="1" thickBot="1" x14ac:dyDescent="0.6">
      <c r="A811" s="15">
        <v>810</v>
      </c>
    </row>
    <row r="812" spans="1:10" thickTop="1" thickBot="1" x14ac:dyDescent="0.6">
      <c r="A812" s="15">
        <v>811</v>
      </c>
    </row>
    <row r="813" spans="1:10" thickTop="1" thickBot="1" x14ac:dyDescent="0.6">
      <c r="A813" s="15">
        <v>812</v>
      </c>
    </row>
    <row r="814" spans="1:10" thickTop="1" thickBot="1" x14ac:dyDescent="0.6">
      <c r="A814" s="15">
        <v>813</v>
      </c>
      <c r="B814" s="16">
        <v>1150758</v>
      </c>
      <c r="C814" s="4" t="s">
        <v>1288</v>
      </c>
      <c r="D814" s="25" t="s">
        <v>1289</v>
      </c>
      <c r="E814" s="25" t="s">
        <v>50</v>
      </c>
      <c r="F814" s="4">
        <v>512223677</v>
      </c>
      <c r="G814" s="4" t="s">
        <v>2756</v>
      </c>
      <c r="H814" s="26">
        <v>2</v>
      </c>
      <c r="I814" s="28">
        <v>45499</v>
      </c>
      <c r="J814" s="27" t="s">
        <v>1290</v>
      </c>
    </row>
    <row r="815" spans="1:10" thickTop="1" thickBot="1" x14ac:dyDescent="0.6">
      <c r="A815" s="15">
        <v>814</v>
      </c>
      <c r="B815" s="16">
        <v>1150500</v>
      </c>
      <c r="C815" s="4" t="s">
        <v>2871</v>
      </c>
      <c r="D815" s="25" t="s">
        <v>207</v>
      </c>
      <c r="E815" s="25" t="s">
        <v>17</v>
      </c>
      <c r="F815" s="4">
        <v>777537233</v>
      </c>
      <c r="G815" s="4">
        <v>63365</v>
      </c>
      <c r="H815" s="26">
        <v>1</v>
      </c>
      <c r="I815" s="28">
        <v>44875</v>
      </c>
      <c r="J815" s="27" t="s">
        <v>1291</v>
      </c>
    </row>
    <row r="816" spans="1:10" thickTop="1" thickBot="1" x14ac:dyDescent="0.6">
      <c r="A816" s="15">
        <v>815</v>
      </c>
    </row>
    <row r="817" spans="1:10" thickTop="1" thickBot="1" x14ac:dyDescent="0.6">
      <c r="A817" s="15">
        <v>816</v>
      </c>
      <c r="B817" s="16">
        <v>1150282</v>
      </c>
      <c r="C817" s="4" t="s">
        <v>1292</v>
      </c>
      <c r="D817" s="25" t="s">
        <v>1293</v>
      </c>
      <c r="E817" s="25" t="s">
        <v>135</v>
      </c>
      <c r="G817" s="4">
        <v>713756</v>
      </c>
      <c r="H817" s="26">
        <v>1</v>
      </c>
      <c r="I817" s="28">
        <v>44464</v>
      </c>
      <c r="J817" s="27" t="s">
        <v>1294</v>
      </c>
    </row>
    <row r="818" spans="1:10" thickTop="1" thickBot="1" x14ac:dyDescent="0.6">
      <c r="A818" s="15">
        <v>817</v>
      </c>
      <c r="I818" s="28"/>
    </row>
    <row r="819" spans="1:10" thickTop="1" thickBot="1" x14ac:dyDescent="0.6">
      <c r="A819" s="15">
        <v>818</v>
      </c>
      <c r="B819" s="17">
        <v>1150386</v>
      </c>
      <c r="C819" s="4" t="s">
        <v>1295</v>
      </c>
      <c r="D819" s="25" t="s">
        <v>1296</v>
      </c>
      <c r="E819" s="25" t="s">
        <v>43</v>
      </c>
      <c r="F819" s="4">
        <v>715992732</v>
      </c>
      <c r="G819" s="4">
        <v>667275</v>
      </c>
      <c r="H819" s="26">
        <v>1</v>
      </c>
      <c r="I819" s="28">
        <v>44877</v>
      </c>
      <c r="J819" s="27" t="s">
        <v>1297</v>
      </c>
    </row>
    <row r="820" spans="1:10" thickTop="1" thickBot="1" x14ac:dyDescent="0.6">
      <c r="A820" s="15">
        <v>819</v>
      </c>
      <c r="C820" s="4" t="s">
        <v>1298</v>
      </c>
      <c r="D820" s="25" t="s">
        <v>1299</v>
      </c>
      <c r="E820" s="25" t="s">
        <v>161</v>
      </c>
      <c r="F820" s="4">
        <v>778903021</v>
      </c>
      <c r="G820" s="4">
        <v>619706</v>
      </c>
      <c r="H820" s="26">
        <v>1</v>
      </c>
    </row>
    <row r="821" spans="1:10" thickTop="1" thickBot="1" x14ac:dyDescent="0.6">
      <c r="A821" s="15">
        <v>820</v>
      </c>
      <c r="B821" s="16">
        <v>1150693</v>
      </c>
      <c r="C821" s="4" t="s">
        <v>1300</v>
      </c>
      <c r="D821" s="25" t="s">
        <v>775</v>
      </c>
      <c r="E821" s="25" t="s">
        <v>6</v>
      </c>
      <c r="F821" s="4">
        <v>775535452</v>
      </c>
      <c r="G821" s="4">
        <v>143852</v>
      </c>
      <c r="H821" s="26">
        <v>1</v>
      </c>
      <c r="I821" s="28">
        <v>45460</v>
      </c>
      <c r="J821" s="27" t="s">
        <v>1301</v>
      </c>
    </row>
    <row r="822" spans="1:10" thickTop="1" thickBot="1" x14ac:dyDescent="0.6">
      <c r="A822" s="15">
        <v>821</v>
      </c>
      <c r="B822" s="16">
        <v>1151223</v>
      </c>
      <c r="C822" s="4" t="s">
        <v>1302</v>
      </c>
      <c r="D822" s="25" t="s">
        <v>232</v>
      </c>
      <c r="E822" s="25" t="s">
        <v>43</v>
      </c>
      <c r="F822" s="4">
        <v>705759971</v>
      </c>
      <c r="G822" s="4">
        <v>326234</v>
      </c>
      <c r="H822" s="26">
        <v>1</v>
      </c>
      <c r="I822" s="28">
        <v>45609</v>
      </c>
      <c r="J822" s="27" t="s">
        <v>1303</v>
      </c>
    </row>
    <row r="823" spans="1:10" thickTop="1" thickBot="1" x14ac:dyDescent="0.6">
      <c r="A823" s="15">
        <v>822</v>
      </c>
      <c r="B823" s="16">
        <v>1150973</v>
      </c>
      <c r="C823" s="4" t="s">
        <v>1304</v>
      </c>
      <c r="D823" s="25" t="s">
        <v>530</v>
      </c>
      <c r="E823" s="25" t="s">
        <v>6</v>
      </c>
      <c r="F823" s="4">
        <v>765868207</v>
      </c>
      <c r="G823" s="4">
        <v>187107</v>
      </c>
      <c r="H823" s="26">
        <v>1</v>
      </c>
      <c r="I823" s="28">
        <v>45587</v>
      </c>
      <c r="J823" s="27" t="s">
        <v>1305</v>
      </c>
    </row>
    <row r="824" spans="1:10" thickTop="1" thickBot="1" x14ac:dyDescent="0.6">
      <c r="A824" s="15">
        <v>823</v>
      </c>
    </row>
    <row r="825" spans="1:10" thickTop="1" thickBot="1" x14ac:dyDescent="0.6">
      <c r="A825" s="15">
        <v>824</v>
      </c>
      <c r="B825" s="16">
        <v>1151244</v>
      </c>
      <c r="C825" s="4" t="s">
        <v>1306</v>
      </c>
      <c r="D825" s="25" t="s">
        <v>1307</v>
      </c>
      <c r="E825" s="25" t="s">
        <v>43</v>
      </c>
      <c r="F825" s="4" t="s">
        <v>1308</v>
      </c>
      <c r="G825" s="4">
        <v>353139</v>
      </c>
      <c r="H825" s="26">
        <v>1</v>
      </c>
      <c r="I825" s="28">
        <v>45609</v>
      </c>
      <c r="J825" s="27" t="s">
        <v>1309</v>
      </c>
    </row>
    <row r="826" spans="1:10" thickTop="1" thickBot="1" x14ac:dyDescent="0.6">
      <c r="A826" s="15">
        <v>825</v>
      </c>
      <c r="B826" s="16">
        <v>1150870</v>
      </c>
      <c r="C826" s="4" t="s">
        <v>3057</v>
      </c>
      <c r="D826" s="25" t="s">
        <v>67</v>
      </c>
      <c r="E826" s="25" t="s">
        <v>6</v>
      </c>
      <c r="F826" s="4" t="s">
        <v>1310</v>
      </c>
      <c r="G826" s="4">
        <v>131303</v>
      </c>
      <c r="H826" s="26">
        <v>1</v>
      </c>
      <c r="I826" s="28">
        <v>45571</v>
      </c>
      <c r="J826" s="27" t="s">
        <v>1311</v>
      </c>
    </row>
    <row r="827" spans="1:10" thickTop="1" thickBot="1" x14ac:dyDescent="0.6">
      <c r="A827" s="15">
        <v>826</v>
      </c>
    </row>
    <row r="828" spans="1:10" thickTop="1" thickBot="1" x14ac:dyDescent="0.6">
      <c r="A828" s="15">
        <v>827</v>
      </c>
      <c r="B828" s="16">
        <v>1151443</v>
      </c>
      <c r="C828" s="4" t="s">
        <v>1704</v>
      </c>
      <c r="D828" s="25" t="s">
        <v>2875</v>
      </c>
      <c r="E828" s="25" t="s">
        <v>6</v>
      </c>
      <c r="F828" s="4">
        <v>777537229</v>
      </c>
      <c r="G828" s="4">
        <v>401581</v>
      </c>
      <c r="H828" s="26">
        <v>1</v>
      </c>
      <c r="I828" s="28">
        <v>45740</v>
      </c>
      <c r="J828" s="27" t="s">
        <v>2876</v>
      </c>
    </row>
    <row r="829" spans="1:10" thickTop="1" thickBot="1" x14ac:dyDescent="0.6">
      <c r="A829" s="15">
        <v>828</v>
      </c>
      <c r="B829" s="16">
        <v>1151079</v>
      </c>
      <c r="C829" s="4" t="s">
        <v>1312</v>
      </c>
      <c r="D829" s="25" t="s">
        <v>1313</v>
      </c>
      <c r="E829" s="25" t="s">
        <v>6</v>
      </c>
      <c r="F829" s="4">
        <v>717116983</v>
      </c>
      <c r="G829" s="4" t="s">
        <v>1314</v>
      </c>
      <c r="H829" s="26">
        <v>2</v>
      </c>
      <c r="I829" s="28">
        <v>45601</v>
      </c>
      <c r="J829" s="27" t="s">
        <v>1315</v>
      </c>
    </row>
    <row r="830" spans="1:10" thickTop="1" thickBot="1" x14ac:dyDescent="0.6">
      <c r="A830" s="15">
        <v>829</v>
      </c>
      <c r="B830" s="16">
        <v>1151153</v>
      </c>
      <c r="C830" s="4" t="s">
        <v>1316</v>
      </c>
      <c r="D830" s="25" t="s">
        <v>903</v>
      </c>
      <c r="E830" s="25" t="s">
        <v>6</v>
      </c>
      <c r="F830" s="4">
        <v>773241135</v>
      </c>
      <c r="G830" s="4">
        <v>381635</v>
      </c>
      <c r="H830" s="26">
        <v>1</v>
      </c>
      <c r="I830" s="28">
        <v>45605</v>
      </c>
      <c r="J830" s="27" t="s">
        <v>1317</v>
      </c>
    </row>
    <row r="831" spans="1:10" thickTop="1" thickBot="1" x14ac:dyDescent="0.6">
      <c r="A831" s="15">
        <v>830</v>
      </c>
    </row>
    <row r="832" spans="1:10" thickTop="1" thickBot="1" x14ac:dyDescent="0.6">
      <c r="A832" s="15">
        <v>831</v>
      </c>
    </row>
    <row r="833" spans="1:10" thickTop="1" thickBot="1" x14ac:dyDescent="0.6">
      <c r="A833" s="15">
        <v>832</v>
      </c>
      <c r="B833" s="16">
        <v>1151139</v>
      </c>
      <c r="C833" s="4" t="s">
        <v>1318</v>
      </c>
      <c r="D833" s="25" t="s">
        <v>1319</v>
      </c>
      <c r="E833" s="25" t="s">
        <v>6</v>
      </c>
      <c r="F833" s="4">
        <v>760731424</v>
      </c>
      <c r="G833" s="4">
        <v>274772</v>
      </c>
      <c r="H833" s="26">
        <v>1</v>
      </c>
      <c r="I833" s="28">
        <v>45605</v>
      </c>
      <c r="J833" s="27">
        <v>197684301531</v>
      </c>
    </row>
    <row r="834" spans="1:10" thickTop="1" thickBot="1" x14ac:dyDescent="0.6">
      <c r="A834" s="15">
        <v>833</v>
      </c>
      <c r="B834" s="16">
        <v>1151250</v>
      </c>
      <c r="C834" s="4" t="s">
        <v>1320</v>
      </c>
      <c r="D834" s="25" t="s">
        <v>207</v>
      </c>
      <c r="E834" s="25" t="s">
        <v>43</v>
      </c>
      <c r="F834" s="4" t="s">
        <v>1321</v>
      </c>
      <c r="G834" s="4">
        <v>178320</v>
      </c>
      <c r="H834" s="26">
        <v>1</v>
      </c>
      <c r="I834" s="28">
        <v>45609</v>
      </c>
      <c r="J834" s="27" t="s">
        <v>1322</v>
      </c>
    </row>
    <row r="835" spans="1:10" thickTop="1" thickBot="1" x14ac:dyDescent="0.6">
      <c r="A835" s="15">
        <v>834</v>
      </c>
      <c r="B835" s="16">
        <v>1151057</v>
      </c>
      <c r="C835" s="4" t="s">
        <v>1323</v>
      </c>
      <c r="D835" s="25" t="s">
        <v>250</v>
      </c>
      <c r="E835" s="25" t="s">
        <v>238</v>
      </c>
      <c r="F835" s="4">
        <v>768617705</v>
      </c>
      <c r="G835" s="4">
        <v>328214</v>
      </c>
      <c r="H835" s="26">
        <v>1</v>
      </c>
      <c r="I835" s="28">
        <v>45601</v>
      </c>
      <c r="J835" s="27" t="s">
        <v>1324</v>
      </c>
    </row>
    <row r="836" spans="1:10" thickTop="1" thickBot="1" x14ac:dyDescent="0.6">
      <c r="A836" s="15">
        <v>835</v>
      </c>
    </row>
    <row r="837" spans="1:10" thickTop="1" thickBot="1" x14ac:dyDescent="0.6">
      <c r="A837" s="15">
        <v>836</v>
      </c>
    </row>
    <row r="838" spans="1:10" thickTop="1" thickBot="1" x14ac:dyDescent="0.6">
      <c r="A838" s="15">
        <v>837</v>
      </c>
      <c r="B838" s="16">
        <v>1151335</v>
      </c>
      <c r="C838" s="4" t="s">
        <v>1325</v>
      </c>
      <c r="D838" s="25" t="s">
        <v>269</v>
      </c>
      <c r="E838" s="25" t="s">
        <v>6</v>
      </c>
      <c r="F838" s="4" t="s">
        <v>1326</v>
      </c>
      <c r="G838" s="4">
        <v>275498</v>
      </c>
      <c r="H838" s="26">
        <v>1</v>
      </c>
      <c r="I838" s="28">
        <v>45631</v>
      </c>
      <c r="J838" s="27">
        <v>194433401641</v>
      </c>
    </row>
    <row r="839" spans="1:10" thickTop="1" thickBot="1" x14ac:dyDescent="0.6">
      <c r="A839" s="15">
        <v>838</v>
      </c>
      <c r="B839" s="16">
        <v>1151306</v>
      </c>
      <c r="C839" s="4" t="s">
        <v>1327</v>
      </c>
      <c r="D839" s="25" t="s">
        <v>243</v>
      </c>
      <c r="E839" s="25" t="s">
        <v>6</v>
      </c>
      <c r="F839" s="4">
        <v>768480847</v>
      </c>
      <c r="G839" s="4">
        <v>247224</v>
      </c>
      <c r="H839" s="26">
        <v>1</v>
      </c>
      <c r="I839" s="28">
        <v>45618</v>
      </c>
      <c r="J839" s="27" t="s">
        <v>1328</v>
      </c>
    </row>
    <row r="840" spans="1:10" thickTop="1" thickBot="1" x14ac:dyDescent="0.6">
      <c r="A840" s="15">
        <v>839</v>
      </c>
    </row>
    <row r="841" spans="1:10" thickTop="1" thickBot="1" x14ac:dyDescent="0.6">
      <c r="A841" s="15">
        <v>840</v>
      </c>
    </row>
    <row r="842" spans="1:10" thickTop="1" thickBot="1" x14ac:dyDescent="0.6">
      <c r="A842" s="15">
        <v>841</v>
      </c>
      <c r="B842" s="17">
        <v>1150392</v>
      </c>
      <c r="C842" s="4" t="s">
        <v>1329</v>
      </c>
      <c r="D842" s="25" t="s">
        <v>595</v>
      </c>
      <c r="E842" s="25" t="s">
        <v>6</v>
      </c>
      <c r="F842" s="4">
        <v>763536845</v>
      </c>
      <c r="G842" s="4">
        <v>946752</v>
      </c>
      <c r="H842" s="26">
        <v>1</v>
      </c>
      <c r="I842" s="28">
        <v>44917</v>
      </c>
      <c r="J842" s="27" t="s">
        <v>1330</v>
      </c>
    </row>
    <row r="843" spans="1:10" thickTop="1" thickBot="1" x14ac:dyDescent="0.6">
      <c r="A843" s="15">
        <v>842</v>
      </c>
      <c r="B843" s="17">
        <v>1151171</v>
      </c>
      <c r="C843" s="4" t="s">
        <v>1331</v>
      </c>
      <c r="D843" s="25" t="s">
        <v>1332</v>
      </c>
      <c r="E843" s="25" t="s">
        <v>6</v>
      </c>
      <c r="F843" s="4" t="s">
        <v>1333</v>
      </c>
      <c r="G843" s="4">
        <v>245152</v>
      </c>
      <c r="H843" s="26">
        <v>1</v>
      </c>
      <c r="I843" s="28">
        <v>45606</v>
      </c>
      <c r="J843" s="27">
        <v>197003402123</v>
      </c>
    </row>
    <row r="844" spans="1:10" thickTop="1" thickBot="1" x14ac:dyDescent="0.6">
      <c r="A844" s="15">
        <v>843</v>
      </c>
    </row>
    <row r="845" spans="1:10" thickTop="1" thickBot="1" x14ac:dyDescent="0.6">
      <c r="A845" s="15">
        <v>844</v>
      </c>
      <c r="B845" s="17">
        <v>1150496</v>
      </c>
      <c r="C845" s="4" t="s">
        <v>1334</v>
      </c>
      <c r="D845" s="25" t="s">
        <v>1153</v>
      </c>
      <c r="E845" s="25" t="s">
        <v>57</v>
      </c>
      <c r="F845" s="4">
        <v>772272788</v>
      </c>
      <c r="G845" s="4">
        <v>121056</v>
      </c>
      <c r="H845" s="26">
        <v>1</v>
      </c>
      <c r="I845" s="28">
        <v>45218</v>
      </c>
      <c r="J845" s="27" t="s">
        <v>1335</v>
      </c>
    </row>
    <row r="846" spans="1:10" thickTop="1" thickBot="1" x14ac:dyDescent="0.6">
      <c r="A846" s="15">
        <v>845</v>
      </c>
      <c r="B846" s="17">
        <v>1150976</v>
      </c>
      <c r="C846" s="4" t="s">
        <v>1336</v>
      </c>
      <c r="D846" s="25" t="s">
        <v>1337</v>
      </c>
      <c r="E846" s="25" t="s">
        <v>238</v>
      </c>
      <c r="F846" s="4">
        <v>764534482</v>
      </c>
      <c r="G846" s="4">
        <v>291206</v>
      </c>
      <c r="H846" s="26">
        <v>1</v>
      </c>
      <c r="I846" s="28">
        <v>45587</v>
      </c>
      <c r="J846" s="27">
        <v>195422201062</v>
      </c>
    </row>
    <row r="847" spans="1:10" thickTop="1" thickBot="1" x14ac:dyDescent="0.6">
      <c r="A847" s="15">
        <v>846</v>
      </c>
      <c r="B847" s="17">
        <v>1151038</v>
      </c>
      <c r="C847" s="4" t="s">
        <v>1338</v>
      </c>
      <c r="D847" s="25" t="s">
        <v>1339</v>
      </c>
      <c r="E847" s="25" t="s">
        <v>57</v>
      </c>
      <c r="F847" s="4" t="s">
        <v>1340</v>
      </c>
      <c r="G847" s="4">
        <v>242605</v>
      </c>
      <c r="H847" s="26">
        <v>1</v>
      </c>
      <c r="I847" s="28">
        <v>45595</v>
      </c>
      <c r="J847" s="27" t="s">
        <v>1341</v>
      </c>
    </row>
    <row r="848" spans="1:10" thickTop="1" thickBot="1" x14ac:dyDescent="0.6">
      <c r="A848" s="15">
        <v>847</v>
      </c>
      <c r="B848" s="17">
        <v>1151269</v>
      </c>
      <c r="C848" s="4" t="s">
        <v>1342</v>
      </c>
      <c r="D848" s="25" t="s">
        <v>1289</v>
      </c>
      <c r="E848" s="25" t="s">
        <v>57</v>
      </c>
      <c r="F848" s="4">
        <v>512223677</v>
      </c>
      <c r="G848" s="4">
        <v>350648</v>
      </c>
      <c r="H848" s="26">
        <v>1</v>
      </c>
      <c r="I848" s="28">
        <v>45610</v>
      </c>
      <c r="J848" s="27" t="s">
        <v>1343</v>
      </c>
    </row>
    <row r="849" spans="1:10" thickTop="1" thickBot="1" x14ac:dyDescent="0.6">
      <c r="A849" s="15">
        <v>848</v>
      </c>
      <c r="B849" s="17">
        <v>1150642</v>
      </c>
      <c r="C849" s="4" t="s">
        <v>1344</v>
      </c>
      <c r="D849" s="25" t="s">
        <v>1345</v>
      </c>
      <c r="E849" s="25" t="s">
        <v>57</v>
      </c>
      <c r="F849" s="4">
        <v>715943340</v>
      </c>
      <c r="G849" s="4" t="str">
        <f>"0"&amp;94626</f>
        <v>094626</v>
      </c>
      <c r="H849" s="26">
        <v>1</v>
      </c>
      <c r="I849" s="28">
        <v>45334</v>
      </c>
      <c r="J849" s="27" t="s">
        <v>1346</v>
      </c>
    </row>
    <row r="850" spans="1:10" thickTop="1" thickBot="1" x14ac:dyDescent="0.6">
      <c r="A850" s="15">
        <v>849</v>
      </c>
      <c r="B850" s="16" t="s">
        <v>2922</v>
      </c>
      <c r="C850" s="4" t="s">
        <v>1347</v>
      </c>
      <c r="D850" s="25" t="s">
        <v>1348</v>
      </c>
      <c r="E850" s="25" t="s">
        <v>23</v>
      </c>
      <c r="F850" s="4" t="s">
        <v>1349</v>
      </c>
      <c r="G850" s="4">
        <v>284888</v>
      </c>
      <c r="H850" s="26">
        <v>1</v>
      </c>
      <c r="I850" s="28">
        <v>45610</v>
      </c>
    </row>
    <row r="851" spans="1:10" thickTop="1" thickBot="1" x14ac:dyDescent="0.6">
      <c r="A851" s="15">
        <v>850</v>
      </c>
    </row>
    <row r="852" spans="1:10" thickTop="1" thickBot="1" x14ac:dyDescent="0.6">
      <c r="A852" s="15">
        <v>851</v>
      </c>
    </row>
    <row r="853" spans="1:10" thickTop="1" thickBot="1" x14ac:dyDescent="0.6">
      <c r="A853" s="15">
        <v>852</v>
      </c>
      <c r="B853" s="16">
        <v>1151076</v>
      </c>
      <c r="C853" s="4" t="s">
        <v>1350</v>
      </c>
      <c r="D853" s="25" t="s">
        <v>250</v>
      </c>
      <c r="E853" s="25" t="s">
        <v>6</v>
      </c>
      <c r="F853" s="4" t="s">
        <v>1351</v>
      </c>
      <c r="G853" s="4">
        <v>353584</v>
      </c>
      <c r="H853" s="26">
        <v>1</v>
      </c>
      <c r="I853" s="28">
        <v>45601</v>
      </c>
      <c r="J853" s="27" t="s">
        <v>1352</v>
      </c>
    </row>
    <row r="854" spans="1:10" thickTop="1" thickBot="1" x14ac:dyDescent="0.6">
      <c r="A854" s="15">
        <v>853</v>
      </c>
    </row>
    <row r="855" spans="1:10" thickTop="1" thickBot="1" x14ac:dyDescent="0.6">
      <c r="A855" s="15">
        <v>854</v>
      </c>
      <c r="B855" s="16">
        <v>1150804</v>
      </c>
      <c r="C855" s="4" t="s">
        <v>1353</v>
      </c>
      <c r="D855" s="25" t="s">
        <v>1354</v>
      </c>
      <c r="E855" s="25" t="s">
        <v>57</v>
      </c>
      <c r="F855" s="4">
        <v>702222168</v>
      </c>
      <c r="G855" s="4">
        <v>107675</v>
      </c>
      <c r="H855" s="26">
        <v>1</v>
      </c>
      <c r="I855" s="28">
        <v>45533</v>
      </c>
      <c r="J855" s="27" t="s">
        <v>1355</v>
      </c>
    </row>
    <row r="856" spans="1:10" thickTop="1" thickBot="1" x14ac:dyDescent="0.6">
      <c r="A856" s="15">
        <v>855</v>
      </c>
      <c r="B856" s="16">
        <v>1150592</v>
      </c>
      <c r="C856" s="4" t="s">
        <v>1356</v>
      </c>
      <c r="D856" s="25" t="s">
        <v>1357</v>
      </c>
      <c r="E856" s="25" t="s">
        <v>57</v>
      </c>
      <c r="F856" s="4">
        <v>703323042</v>
      </c>
      <c r="G856" s="4">
        <v>136948</v>
      </c>
      <c r="H856" s="26">
        <v>1</v>
      </c>
      <c r="I856" s="28">
        <v>45296</v>
      </c>
      <c r="J856" s="27" t="s">
        <v>1358</v>
      </c>
    </row>
    <row r="857" spans="1:10" thickTop="1" thickBot="1" x14ac:dyDescent="0.6">
      <c r="A857" s="15">
        <v>856</v>
      </c>
      <c r="B857" s="16">
        <v>1150837</v>
      </c>
      <c r="C857" s="4" t="s">
        <v>1359</v>
      </c>
      <c r="D857" s="25" t="s">
        <v>1360</v>
      </c>
      <c r="E857" s="25" t="s">
        <v>57</v>
      </c>
      <c r="F857" s="4" t="s">
        <v>1361</v>
      </c>
      <c r="G857" s="4" t="str">
        <f>"0"&amp;99732</f>
        <v>099732</v>
      </c>
      <c r="H857" s="26">
        <v>1</v>
      </c>
      <c r="I857" s="28">
        <v>45552</v>
      </c>
      <c r="J857" s="27" t="s">
        <v>1362</v>
      </c>
    </row>
    <row r="858" spans="1:10" thickTop="1" thickBot="1" x14ac:dyDescent="0.6">
      <c r="A858" s="15">
        <v>857</v>
      </c>
    </row>
    <row r="859" spans="1:10" thickTop="1" thickBot="1" x14ac:dyDescent="0.6">
      <c r="A859" s="15">
        <v>858</v>
      </c>
    </row>
    <row r="860" spans="1:10" thickTop="1" thickBot="1" x14ac:dyDescent="0.6">
      <c r="A860" s="15">
        <v>859</v>
      </c>
    </row>
    <row r="861" spans="1:10" thickTop="1" thickBot="1" x14ac:dyDescent="0.6">
      <c r="A861" s="15">
        <v>860</v>
      </c>
    </row>
    <row r="862" spans="1:10" thickTop="1" thickBot="1" x14ac:dyDescent="0.6">
      <c r="A862" s="15">
        <v>861</v>
      </c>
    </row>
    <row r="863" spans="1:10" thickTop="1" thickBot="1" x14ac:dyDescent="0.6">
      <c r="A863" s="15">
        <v>862</v>
      </c>
      <c r="B863" s="16">
        <v>1150434</v>
      </c>
      <c r="C863" s="4" t="s">
        <v>1363</v>
      </c>
      <c r="D863" s="25" t="s">
        <v>1364</v>
      </c>
      <c r="E863" s="25" t="s">
        <v>50</v>
      </c>
      <c r="F863" s="4">
        <v>777514440</v>
      </c>
      <c r="G863" s="4">
        <v>108186</v>
      </c>
      <c r="H863" s="26">
        <v>1</v>
      </c>
      <c r="I863" s="28">
        <v>44984</v>
      </c>
      <c r="J863" s="27">
        <v>196101802941</v>
      </c>
    </row>
    <row r="864" spans="1:10" thickTop="1" thickBot="1" x14ac:dyDescent="0.6">
      <c r="A864" s="15">
        <v>863</v>
      </c>
    </row>
    <row r="865" spans="1:10" thickTop="1" thickBot="1" x14ac:dyDescent="0.6">
      <c r="A865" s="15">
        <v>864</v>
      </c>
    </row>
    <row r="866" spans="1:10" thickTop="1" thickBot="1" x14ac:dyDescent="0.6">
      <c r="A866" s="15">
        <v>865</v>
      </c>
      <c r="B866" s="16">
        <v>1150852</v>
      </c>
      <c r="C866" s="4" t="s">
        <v>1365</v>
      </c>
      <c r="D866" s="25" t="s">
        <v>367</v>
      </c>
      <c r="E866" s="25" t="s">
        <v>43</v>
      </c>
      <c r="F866" s="4">
        <v>770291658</v>
      </c>
      <c r="G866" s="4">
        <v>249071</v>
      </c>
      <c r="H866" s="26">
        <v>1</v>
      </c>
      <c r="I866" s="28">
        <v>45564</v>
      </c>
    </row>
    <row r="867" spans="1:10" thickTop="1" thickBot="1" x14ac:dyDescent="0.6">
      <c r="A867" s="15">
        <v>866</v>
      </c>
    </row>
    <row r="868" spans="1:10" thickTop="1" thickBot="1" x14ac:dyDescent="0.6">
      <c r="A868" s="15">
        <v>867</v>
      </c>
      <c r="B868" s="16">
        <v>1151209</v>
      </c>
      <c r="C868" s="4" t="s">
        <v>1366</v>
      </c>
      <c r="E868" s="25" t="s">
        <v>50</v>
      </c>
      <c r="F868" s="4">
        <v>777518980</v>
      </c>
      <c r="G868" s="4" t="s">
        <v>1367</v>
      </c>
      <c r="H868" s="26">
        <v>2</v>
      </c>
      <c r="I868" s="28">
        <v>45607</v>
      </c>
      <c r="J868" s="27" t="s">
        <v>1368</v>
      </c>
    </row>
    <row r="869" spans="1:10" thickTop="1" thickBot="1" x14ac:dyDescent="0.6">
      <c r="A869" s="15">
        <v>868</v>
      </c>
      <c r="B869" s="16">
        <v>1150219</v>
      </c>
      <c r="C869" s="4" t="s">
        <v>1369</v>
      </c>
      <c r="D869" s="25" t="s">
        <v>1370</v>
      </c>
      <c r="E869" s="25" t="s">
        <v>43</v>
      </c>
      <c r="F869" s="4" t="s">
        <v>1371</v>
      </c>
      <c r="G869" s="4">
        <v>267083</v>
      </c>
      <c r="H869" s="26">
        <v>1</v>
      </c>
      <c r="I869" s="28">
        <v>44375</v>
      </c>
      <c r="J869" s="27" t="s">
        <v>1372</v>
      </c>
    </row>
    <row r="870" spans="1:10" thickTop="1" thickBot="1" x14ac:dyDescent="0.6">
      <c r="A870" s="15">
        <v>869</v>
      </c>
    </row>
    <row r="871" spans="1:10" thickTop="1" thickBot="1" x14ac:dyDescent="0.6">
      <c r="A871" s="15">
        <v>870</v>
      </c>
      <c r="B871" s="16">
        <v>1150402</v>
      </c>
      <c r="C871" s="4" t="s">
        <v>1373</v>
      </c>
      <c r="D871" s="25" t="s">
        <v>459</v>
      </c>
      <c r="E871" s="25" t="s">
        <v>249</v>
      </c>
      <c r="F871" s="4">
        <v>770119323</v>
      </c>
      <c r="G871" s="4">
        <v>142474</v>
      </c>
      <c r="H871" s="26">
        <v>1</v>
      </c>
      <c r="I871" s="28">
        <v>44933</v>
      </c>
      <c r="J871" s="27" t="s">
        <v>1374</v>
      </c>
    </row>
    <row r="872" spans="1:10" thickTop="1" thickBot="1" x14ac:dyDescent="0.6">
      <c r="A872" s="15">
        <v>871</v>
      </c>
      <c r="B872" s="16">
        <v>1150781</v>
      </c>
      <c r="C872" s="4" t="s">
        <v>1375</v>
      </c>
      <c r="D872" s="25" t="s">
        <v>435</v>
      </c>
      <c r="E872" s="25" t="s">
        <v>43</v>
      </c>
      <c r="F872" s="4">
        <v>710955458</v>
      </c>
      <c r="G872" s="4">
        <v>109697</v>
      </c>
      <c r="H872" s="26">
        <v>1</v>
      </c>
      <c r="I872" s="28">
        <v>45524</v>
      </c>
      <c r="J872" s="27" t="s">
        <v>1376</v>
      </c>
    </row>
    <row r="873" spans="1:10" thickTop="1" thickBot="1" x14ac:dyDescent="0.6">
      <c r="A873" s="15">
        <v>872</v>
      </c>
      <c r="B873" s="16">
        <v>1151195</v>
      </c>
      <c r="C873" s="4" t="s">
        <v>1377</v>
      </c>
      <c r="D873" s="25" t="s">
        <v>1003</v>
      </c>
      <c r="E873" s="25" t="s">
        <v>43</v>
      </c>
      <c r="F873" s="4" t="s">
        <v>1378</v>
      </c>
      <c r="G873" s="4">
        <v>227952</v>
      </c>
      <c r="H873" s="26">
        <v>1</v>
      </c>
      <c r="I873" s="28">
        <v>45607</v>
      </c>
    </row>
    <row r="874" spans="1:10" thickTop="1" thickBot="1" x14ac:dyDescent="0.6">
      <c r="A874" s="15">
        <v>873</v>
      </c>
      <c r="I874" s="28"/>
    </row>
    <row r="875" spans="1:10" thickTop="1" thickBot="1" x14ac:dyDescent="0.6">
      <c r="A875" s="15">
        <v>874</v>
      </c>
      <c r="B875" s="16">
        <v>1151289</v>
      </c>
      <c r="C875" s="4" t="s">
        <v>1379</v>
      </c>
      <c r="D875" s="25" t="s">
        <v>1380</v>
      </c>
      <c r="E875" s="25" t="s">
        <v>238</v>
      </c>
      <c r="F875" s="4">
        <v>766322182</v>
      </c>
      <c r="G875" s="4">
        <v>255235</v>
      </c>
      <c r="H875" s="26">
        <v>1</v>
      </c>
      <c r="I875" s="28">
        <v>45612</v>
      </c>
    </row>
    <row r="876" spans="1:10" thickTop="1" thickBot="1" x14ac:dyDescent="0.6">
      <c r="A876" s="15">
        <v>875</v>
      </c>
    </row>
    <row r="877" spans="1:10" thickTop="1" thickBot="1" x14ac:dyDescent="0.6">
      <c r="A877" s="15">
        <v>876</v>
      </c>
      <c r="B877" s="16">
        <v>1150710</v>
      </c>
      <c r="C877" s="4" t="s">
        <v>1381</v>
      </c>
      <c r="D877" s="25" t="s">
        <v>1382</v>
      </c>
      <c r="E877" s="25" t="s">
        <v>507</v>
      </c>
      <c r="F877" s="4">
        <v>775340644</v>
      </c>
      <c r="G877" s="4" t="s">
        <v>1383</v>
      </c>
      <c r="H877" s="26">
        <v>2</v>
      </c>
      <c r="I877" s="28">
        <v>45474</v>
      </c>
      <c r="J877" s="27" t="s">
        <v>1384</v>
      </c>
    </row>
    <row r="878" spans="1:10" thickTop="1" thickBot="1" x14ac:dyDescent="0.6">
      <c r="A878" s="15">
        <v>877</v>
      </c>
      <c r="B878" s="16">
        <v>1151046</v>
      </c>
      <c r="C878" s="4" t="s">
        <v>1385</v>
      </c>
      <c r="D878" s="25" t="s">
        <v>1386</v>
      </c>
      <c r="E878" s="25" t="s">
        <v>43</v>
      </c>
      <c r="F878" s="4" t="s">
        <v>1387</v>
      </c>
      <c r="G878" s="4">
        <v>320575</v>
      </c>
      <c r="H878" s="26">
        <v>1</v>
      </c>
      <c r="I878" s="28">
        <v>45599</v>
      </c>
      <c r="J878" s="27">
        <v>200313913351</v>
      </c>
    </row>
    <row r="879" spans="1:10" thickTop="1" thickBot="1" x14ac:dyDescent="0.6">
      <c r="A879" s="15">
        <v>878</v>
      </c>
      <c r="B879" s="16">
        <v>1151056</v>
      </c>
      <c r="C879" s="4" t="s">
        <v>1388</v>
      </c>
      <c r="D879" s="25" t="s">
        <v>859</v>
      </c>
      <c r="E879" s="25" t="s">
        <v>238</v>
      </c>
      <c r="F879" s="4">
        <v>714786827</v>
      </c>
      <c r="G879" s="4">
        <v>176233</v>
      </c>
      <c r="H879" s="26">
        <v>1</v>
      </c>
      <c r="I879" s="28">
        <v>45601</v>
      </c>
      <c r="J879" s="27" t="s">
        <v>1389</v>
      </c>
    </row>
    <row r="880" spans="1:10" thickTop="1" thickBot="1" x14ac:dyDescent="0.6">
      <c r="A880" s="15">
        <v>879</v>
      </c>
      <c r="B880" s="16">
        <v>1150408</v>
      </c>
      <c r="C880" s="4" t="s">
        <v>1390</v>
      </c>
      <c r="D880" s="25" t="s">
        <v>1391</v>
      </c>
      <c r="E880" s="25" t="s">
        <v>161</v>
      </c>
      <c r="F880" s="4">
        <v>767592666</v>
      </c>
      <c r="G880" s="4">
        <v>135619</v>
      </c>
      <c r="H880" s="26">
        <v>1</v>
      </c>
      <c r="I880" s="28">
        <v>44942</v>
      </c>
      <c r="J880" s="27" t="s">
        <v>1392</v>
      </c>
    </row>
    <row r="881" spans="1:10" thickTop="1" thickBot="1" x14ac:dyDescent="0.6">
      <c r="A881" s="15">
        <v>880</v>
      </c>
      <c r="B881" s="16">
        <v>1150977</v>
      </c>
      <c r="C881" s="4" t="s">
        <v>1393</v>
      </c>
      <c r="D881" s="25" t="s">
        <v>527</v>
      </c>
      <c r="E881" s="25" t="s">
        <v>238</v>
      </c>
      <c r="F881" s="4" t="s">
        <v>1394</v>
      </c>
      <c r="G881" s="4">
        <v>381502</v>
      </c>
      <c r="H881" s="26">
        <v>1</v>
      </c>
      <c r="I881" s="28">
        <v>45588</v>
      </c>
    </row>
    <row r="882" spans="1:10" thickTop="1" thickBot="1" x14ac:dyDescent="0.6">
      <c r="A882" s="15">
        <v>881</v>
      </c>
      <c r="B882" s="16">
        <v>1151282</v>
      </c>
      <c r="C882" s="4" t="s">
        <v>1395</v>
      </c>
      <c r="D882" s="25" t="s">
        <v>1396</v>
      </c>
      <c r="E882" s="25" t="s">
        <v>23</v>
      </c>
      <c r="F882" s="4">
        <v>777278618</v>
      </c>
      <c r="G882" s="4">
        <v>188980</v>
      </c>
      <c r="H882" s="26">
        <v>1</v>
      </c>
      <c r="I882" s="28">
        <v>45610</v>
      </c>
    </row>
    <row r="883" spans="1:10" thickTop="1" thickBot="1" x14ac:dyDescent="0.6">
      <c r="A883" s="15">
        <v>882</v>
      </c>
      <c r="B883" s="16">
        <v>1151299</v>
      </c>
      <c r="C883" s="4" t="s">
        <v>1397</v>
      </c>
      <c r="D883" s="25" t="s">
        <v>465</v>
      </c>
      <c r="E883" s="25" t="s">
        <v>23</v>
      </c>
      <c r="F883" s="4" t="s">
        <v>1398</v>
      </c>
      <c r="G883" s="4">
        <v>225923</v>
      </c>
      <c r="H883" s="26">
        <v>1</v>
      </c>
      <c r="I883" s="28">
        <v>45613</v>
      </c>
      <c r="J883" s="27">
        <v>199113104029</v>
      </c>
    </row>
    <row r="884" spans="1:10" thickTop="1" thickBot="1" x14ac:dyDescent="0.6">
      <c r="A884" s="15">
        <v>883</v>
      </c>
      <c r="B884" s="16">
        <v>1150981</v>
      </c>
      <c r="C884" s="4" t="s">
        <v>1399</v>
      </c>
      <c r="D884" s="25" t="s">
        <v>1400</v>
      </c>
      <c r="E884" s="25" t="s">
        <v>238</v>
      </c>
      <c r="F884" s="4" t="s">
        <v>1401</v>
      </c>
      <c r="G884" s="4">
        <v>218522</v>
      </c>
      <c r="H884" s="26">
        <v>1</v>
      </c>
      <c r="I884" s="28">
        <v>45589</v>
      </c>
    </row>
    <row r="885" spans="1:10" thickTop="1" thickBot="1" x14ac:dyDescent="0.6">
      <c r="A885" s="15">
        <v>884</v>
      </c>
      <c r="B885" s="16">
        <v>1150595</v>
      </c>
      <c r="C885" s="4" t="s">
        <v>1402</v>
      </c>
      <c r="D885" s="25" t="s">
        <v>1403</v>
      </c>
      <c r="E885" s="25" t="s">
        <v>238</v>
      </c>
      <c r="F885" s="4">
        <v>716003864</v>
      </c>
      <c r="G885" s="4">
        <v>154131</v>
      </c>
      <c r="H885" s="26">
        <v>1</v>
      </c>
      <c r="I885" s="28">
        <v>45298</v>
      </c>
      <c r="J885" s="27" t="s">
        <v>1404</v>
      </c>
    </row>
    <row r="886" spans="1:10" thickTop="1" thickBot="1" x14ac:dyDescent="0.6">
      <c r="A886" s="15">
        <v>885</v>
      </c>
      <c r="B886" s="16">
        <v>1151284</v>
      </c>
      <c r="C886" s="4" t="s">
        <v>1405</v>
      </c>
      <c r="D886" s="25" t="s">
        <v>230</v>
      </c>
      <c r="E886" s="25" t="s">
        <v>238</v>
      </c>
      <c r="F886" s="4" t="s">
        <v>1406</v>
      </c>
      <c r="G886" s="4">
        <v>214935</v>
      </c>
      <c r="H886" s="26">
        <v>1</v>
      </c>
      <c r="I886" s="28">
        <v>45610</v>
      </c>
    </row>
    <row r="887" spans="1:10" thickTop="1" thickBot="1" x14ac:dyDescent="0.6">
      <c r="A887" s="15">
        <v>886</v>
      </c>
      <c r="B887" s="16">
        <v>1150788</v>
      </c>
      <c r="C887" s="4" t="s">
        <v>1407</v>
      </c>
      <c r="D887" s="25" t="s">
        <v>565</v>
      </c>
      <c r="E887" s="25" t="s">
        <v>238</v>
      </c>
      <c r="F887" s="4">
        <v>770863353</v>
      </c>
      <c r="G887" s="4">
        <v>113079</v>
      </c>
      <c r="H887" s="26">
        <v>1</v>
      </c>
      <c r="I887" s="28">
        <v>45529</v>
      </c>
      <c r="J887" s="27" t="s">
        <v>1408</v>
      </c>
    </row>
    <row r="888" spans="1:10" thickTop="1" thickBot="1" x14ac:dyDescent="0.6">
      <c r="A888" s="15">
        <v>887</v>
      </c>
    </row>
    <row r="889" spans="1:10" thickTop="1" thickBot="1" x14ac:dyDescent="0.6">
      <c r="A889" s="15">
        <v>888</v>
      </c>
    </row>
    <row r="890" spans="1:10" thickTop="1" thickBot="1" x14ac:dyDescent="0.6">
      <c r="A890" s="15">
        <v>889</v>
      </c>
    </row>
    <row r="891" spans="1:10" thickTop="1" thickBot="1" x14ac:dyDescent="0.6">
      <c r="A891" s="15">
        <v>890</v>
      </c>
      <c r="B891" s="16">
        <v>1151542</v>
      </c>
      <c r="C891" s="4" t="s">
        <v>1409</v>
      </c>
      <c r="D891" s="25" t="s">
        <v>1410</v>
      </c>
      <c r="E891" s="25" t="s">
        <v>50</v>
      </c>
      <c r="F891" s="4" t="s">
        <v>1411</v>
      </c>
      <c r="G891" s="4">
        <v>711180</v>
      </c>
      <c r="H891" s="26">
        <v>1</v>
      </c>
      <c r="I891" s="28">
        <v>45622</v>
      </c>
    </row>
    <row r="892" spans="1:10" thickTop="1" thickBot="1" x14ac:dyDescent="0.6">
      <c r="A892" s="15">
        <v>891</v>
      </c>
      <c r="B892" s="16">
        <v>1150523</v>
      </c>
      <c r="C892" s="4" t="s">
        <v>1412</v>
      </c>
      <c r="D892" s="25" t="s">
        <v>465</v>
      </c>
      <c r="E892" s="25" t="s">
        <v>43</v>
      </c>
      <c r="F892" s="4">
        <v>715296921</v>
      </c>
      <c r="G892" s="4" t="str">
        <f>"0"&amp;88958</f>
        <v>088958</v>
      </c>
      <c r="H892" s="26">
        <v>1</v>
      </c>
      <c r="I892" s="28">
        <v>45007</v>
      </c>
      <c r="J892" s="27">
        <v>200222803567</v>
      </c>
    </row>
    <row r="893" spans="1:10" thickTop="1" thickBot="1" x14ac:dyDescent="0.6">
      <c r="A893" s="15">
        <v>892</v>
      </c>
    </row>
    <row r="894" spans="1:10" thickTop="1" thickBot="1" x14ac:dyDescent="0.6">
      <c r="A894" s="15">
        <v>893</v>
      </c>
      <c r="B894" s="16">
        <v>1150414</v>
      </c>
      <c r="C894" s="4" t="s">
        <v>1413</v>
      </c>
      <c r="D894" s="25" t="s">
        <v>496</v>
      </c>
      <c r="E894" s="25" t="s">
        <v>125</v>
      </c>
      <c r="F894" s="4">
        <v>702990729</v>
      </c>
      <c r="G894" s="4">
        <v>134711</v>
      </c>
      <c r="H894" s="26">
        <v>1</v>
      </c>
      <c r="I894" s="28">
        <v>44953</v>
      </c>
      <c r="J894" s="27">
        <v>197912403955</v>
      </c>
    </row>
    <row r="895" spans="1:10" thickTop="1" thickBot="1" x14ac:dyDescent="0.6">
      <c r="A895" s="15">
        <v>894</v>
      </c>
      <c r="I895" s="28"/>
    </row>
    <row r="896" spans="1:10" thickTop="1" thickBot="1" x14ac:dyDescent="0.6">
      <c r="A896" s="15">
        <v>895</v>
      </c>
    </row>
    <row r="897" spans="1:10" thickTop="1" thickBot="1" x14ac:dyDescent="0.6">
      <c r="A897" s="15">
        <v>896</v>
      </c>
      <c r="B897" s="16">
        <v>1150564</v>
      </c>
      <c r="C897" s="4" t="s">
        <v>1414</v>
      </c>
      <c r="E897" s="25" t="s">
        <v>23</v>
      </c>
      <c r="F897" s="4">
        <v>712709099</v>
      </c>
      <c r="G897" s="4">
        <v>124936</v>
      </c>
      <c r="H897" s="26">
        <v>1</v>
      </c>
      <c r="I897" s="28">
        <v>45282</v>
      </c>
      <c r="J897" s="27" t="s">
        <v>1415</v>
      </c>
    </row>
    <row r="898" spans="1:10" thickTop="1" thickBot="1" x14ac:dyDescent="0.6">
      <c r="A898" s="15">
        <v>897</v>
      </c>
      <c r="B898" s="16">
        <v>1151005</v>
      </c>
      <c r="C898" s="4" t="s">
        <v>1416</v>
      </c>
      <c r="D898" s="25" t="s">
        <v>706</v>
      </c>
      <c r="E898" s="25" t="s">
        <v>238</v>
      </c>
      <c r="F898" s="4">
        <v>775355395</v>
      </c>
      <c r="G898" s="4">
        <v>308844</v>
      </c>
      <c r="H898" s="26">
        <v>1</v>
      </c>
      <c r="I898" s="28">
        <v>45592</v>
      </c>
      <c r="J898" s="27">
        <v>200272401790</v>
      </c>
    </row>
    <row r="899" spans="1:10" thickTop="1" thickBot="1" x14ac:dyDescent="0.6">
      <c r="A899" s="15">
        <v>898</v>
      </c>
      <c r="B899" s="16">
        <v>1150567</v>
      </c>
      <c r="C899" s="4" t="s">
        <v>1417</v>
      </c>
      <c r="D899" s="25" t="s">
        <v>1418</v>
      </c>
      <c r="E899" s="25" t="s">
        <v>23</v>
      </c>
      <c r="F899" s="4">
        <v>713535226</v>
      </c>
      <c r="G899" s="4">
        <v>261615</v>
      </c>
      <c r="H899" s="26">
        <v>1</v>
      </c>
      <c r="I899" s="28"/>
    </row>
    <row r="900" spans="1:10" thickTop="1" thickBot="1" x14ac:dyDescent="0.6">
      <c r="A900" s="15">
        <v>899</v>
      </c>
      <c r="B900" s="16">
        <v>1150971</v>
      </c>
      <c r="C900" s="4" t="s">
        <v>1419</v>
      </c>
      <c r="D900" s="25" t="s">
        <v>905</v>
      </c>
      <c r="E900" s="25" t="s">
        <v>57</v>
      </c>
      <c r="F900" s="4">
        <v>710539387</v>
      </c>
      <c r="G900" s="4">
        <v>357890</v>
      </c>
      <c r="H900" s="26">
        <v>1</v>
      </c>
      <c r="I900" s="28">
        <v>45586</v>
      </c>
      <c r="J900" s="27" t="s">
        <v>1420</v>
      </c>
    </row>
    <row r="901" spans="1:10" thickTop="1" thickBot="1" x14ac:dyDescent="0.6">
      <c r="A901" s="15">
        <v>900</v>
      </c>
      <c r="B901" s="16">
        <v>1151318</v>
      </c>
      <c r="C901" s="4" t="s">
        <v>1421</v>
      </c>
      <c r="D901" s="25" t="s">
        <v>1422</v>
      </c>
      <c r="E901" s="25" t="s">
        <v>238</v>
      </c>
      <c r="F901" s="4" t="s">
        <v>1423</v>
      </c>
      <c r="G901" s="4">
        <v>251150</v>
      </c>
      <c r="H901" s="26">
        <v>1</v>
      </c>
      <c r="I901" s="28">
        <v>45622</v>
      </c>
      <c r="J901" s="27" t="s">
        <v>1424</v>
      </c>
    </row>
    <row r="902" spans="1:10" thickTop="1" thickBot="1" x14ac:dyDescent="0.6">
      <c r="A902" s="15">
        <v>901</v>
      </c>
      <c r="B902" s="16">
        <v>1150417</v>
      </c>
      <c r="C902" s="4" t="s">
        <v>1425</v>
      </c>
      <c r="D902" s="25" t="s">
        <v>1426</v>
      </c>
      <c r="E902" s="25" t="s">
        <v>57</v>
      </c>
      <c r="F902" s="4" t="s">
        <v>1427</v>
      </c>
      <c r="G902" s="4">
        <v>134547</v>
      </c>
      <c r="H902" s="26">
        <v>1</v>
      </c>
      <c r="I902" s="28">
        <v>44955</v>
      </c>
      <c r="J902" s="27" t="s">
        <v>1428</v>
      </c>
    </row>
    <row r="903" spans="1:10" thickTop="1" thickBot="1" x14ac:dyDescent="0.6">
      <c r="A903" s="15">
        <v>902</v>
      </c>
      <c r="B903" s="16">
        <v>1150415</v>
      </c>
      <c r="C903" s="4" t="s">
        <v>1429</v>
      </c>
      <c r="D903" s="25" t="s">
        <v>1430</v>
      </c>
      <c r="E903" s="25" t="s">
        <v>63</v>
      </c>
      <c r="F903" s="4" t="s">
        <v>1431</v>
      </c>
      <c r="G903" s="4">
        <v>120504</v>
      </c>
      <c r="H903" s="26">
        <v>1</v>
      </c>
      <c r="I903" s="28">
        <v>44955</v>
      </c>
      <c r="J903" s="27" t="s">
        <v>1432</v>
      </c>
    </row>
    <row r="904" spans="1:10" thickTop="1" thickBot="1" x14ac:dyDescent="0.6">
      <c r="A904" s="15">
        <v>903</v>
      </c>
    </row>
    <row r="905" spans="1:10" thickTop="1" thickBot="1" x14ac:dyDescent="0.6">
      <c r="A905" s="15">
        <v>904</v>
      </c>
      <c r="B905" s="16">
        <v>1150461</v>
      </c>
      <c r="C905" s="4" t="s">
        <v>1433</v>
      </c>
      <c r="D905" s="25" t="s">
        <v>1162</v>
      </c>
      <c r="E905" s="25" t="s">
        <v>6</v>
      </c>
      <c r="F905" s="4">
        <v>772156355</v>
      </c>
      <c r="G905" s="4" t="str">
        <f>"0"&amp;44688</f>
        <v>044688</v>
      </c>
      <c r="H905" s="26">
        <v>1</v>
      </c>
      <c r="I905" s="28">
        <v>45051</v>
      </c>
      <c r="J905" s="27" t="s">
        <v>1434</v>
      </c>
    </row>
    <row r="906" spans="1:10" thickTop="1" thickBot="1" x14ac:dyDescent="0.6">
      <c r="A906" s="15">
        <v>905</v>
      </c>
    </row>
    <row r="907" spans="1:10" thickTop="1" thickBot="1" x14ac:dyDescent="0.6">
      <c r="A907" s="15">
        <v>906</v>
      </c>
      <c r="B907" s="16">
        <v>1150418</v>
      </c>
      <c r="C907" s="4" t="s">
        <v>1435</v>
      </c>
      <c r="D907" s="25" t="s">
        <v>1332</v>
      </c>
      <c r="E907" s="25" t="s">
        <v>238</v>
      </c>
      <c r="F907" s="4">
        <v>764064661</v>
      </c>
      <c r="G907" s="4">
        <v>121585</v>
      </c>
      <c r="H907" s="26">
        <v>1</v>
      </c>
      <c r="I907" s="28">
        <v>44956</v>
      </c>
      <c r="J907" s="27">
        <v>197914401072</v>
      </c>
    </row>
    <row r="908" spans="1:10" thickTop="1" thickBot="1" x14ac:dyDescent="0.6">
      <c r="A908" s="15">
        <v>907</v>
      </c>
      <c r="B908" s="16">
        <v>1150686</v>
      </c>
      <c r="C908" s="4" t="s">
        <v>1436</v>
      </c>
      <c r="D908" s="25" t="s">
        <v>1437</v>
      </c>
      <c r="E908" s="25" t="s">
        <v>23</v>
      </c>
      <c r="F908" s="4">
        <v>705719277</v>
      </c>
      <c r="G908" s="4">
        <v>100332</v>
      </c>
      <c r="H908" s="26">
        <v>1</v>
      </c>
      <c r="I908" s="28">
        <v>45441</v>
      </c>
      <c r="J908" s="27">
        <v>197901503065</v>
      </c>
    </row>
    <row r="909" spans="1:10" thickTop="1" thickBot="1" x14ac:dyDescent="0.6">
      <c r="A909" s="15">
        <v>908</v>
      </c>
      <c r="B909" s="16">
        <v>1150778</v>
      </c>
      <c r="C909" s="4" t="s">
        <v>1438</v>
      </c>
      <c r="D909" s="25" t="s">
        <v>705</v>
      </c>
      <c r="E909" s="25" t="s">
        <v>78</v>
      </c>
      <c r="F909" s="4" t="s">
        <v>1439</v>
      </c>
      <c r="G909" s="4" t="str">
        <f>"0"&amp;56872</f>
        <v>056872</v>
      </c>
      <c r="H909" s="26">
        <v>1</v>
      </c>
      <c r="I909" s="28">
        <v>45523</v>
      </c>
      <c r="J909" s="27" t="s">
        <v>1440</v>
      </c>
    </row>
    <row r="910" spans="1:10" thickTop="1" thickBot="1" x14ac:dyDescent="0.6">
      <c r="A910" s="15">
        <v>909</v>
      </c>
      <c r="B910" s="16">
        <v>1150419</v>
      </c>
      <c r="C910" s="4" t="s">
        <v>1441</v>
      </c>
      <c r="D910" s="25" t="s">
        <v>1442</v>
      </c>
      <c r="E910" s="25" t="s">
        <v>23</v>
      </c>
      <c r="F910" s="4" t="s">
        <v>1443</v>
      </c>
      <c r="G910" s="4" t="str">
        <f>"0"&amp;96043</f>
        <v>096043</v>
      </c>
      <c r="H910" s="26">
        <v>1</v>
      </c>
      <c r="I910" s="28">
        <v>44958</v>
      </c>
      <c r="J910" s="27" t="s">
        <v>1444</v>
      </c>
    </row>
    <row r="911" spans="1:10" thickTop="1" thickBot="1" x14ac:dyDescent="0.6">
      <c r="A911" s="15">
        <v>910</v>
      </c>
      <c r="B911" s="16">
        <v>1151320</v>
      </c>
      <c r="C911" s="4" t="s">
        <v>1445</v>
      </c>
      <c r="D911" s="25" t="s">
        <v>1446</v>
      </c>
      <c r="E911" s="25" t="s">
        <v>50</v>
      </c>
      <c r="F911" s="4">
        <v>764414870</v>
      </c>
      <c r="G911" s="4" t="s">
        <v>1447</v>
      </c>
      <c r="H911" s="26">
        <v>1</v>
      </c>
      <c r="I911" s="28">
        <v>45624</v>
      </c>
      <c r="J911" s="27" t="s">
        <v>1448</v>
      </c>
    </row>
    <row r="912" spans="1:10" thickTop="1" thickBot="1" x14ac:dyDescent="0.6">
      <c r="A912" s="15">
        <v>911</v>
      </c>
      <c r="B912" s="16">
        <v>1150422</v>
      </c>
      <c r="C912" s="4" t="s">
        <v>1449</v>
      </c>
      <c r="D912" s="25" t="s">
        <v>497</v>
      </c>
      <c r="E912" s="25" t="s">
        <v>238</v>
      </c>
      <c r="F912" s="4">
        <v>771428977</v>
      </c>
      <c r="G912" s="4" t="str">
        <f>"0"&amp;93339</f>
        <v>093339</v>
      </c>
      <c r="H912" s="26">
        <v>1</v>
      </c>
      <c r="I912" s="28">
        <v>44960</v>
      </c>
      <c r="J912" s="27" t="s">
        <v>1450</v>
      </c>
    </row>
    <row r="913" spans="1:10" thickTop="1" thickBot="1" x14ac:dyDescent="0.6">
      <c r="A913" s="15">
        <v>912</v>
      </c>
      <c r="I913" s="28"/>
    </row>
    <row r="914" spans="1:10" thickTop="1" thickBot="1" x14ac:dyDescent="0.6">
      <c r="A914" s="15">
        <v>913</v>
      </c>
      <c r="B914" s="16">
        <v>1150212</v>
      </c>
      <c r="C914" s="4" t="s">
        <v>1451</v>
      </c>
      <c r="D914" s="25" t="s">
        <v>656</v>
      </c>
      <c r="E914" s="25" t="s">
        <v>43</v>
      </c>
      <c r="F914" s="4">
        <v>772652571</v>
      </c>
      <c r="G914" s="4">
        <v>337449</v>
      </c>
      <c r="H914" s="26">
        <v>1</v>
      </c>
      <c r="I914" s="28">
        <v>44962</v>
      </c>
      <c r="J914" s="27" t="s">
        <v>1452</v>
      </c>
    </row>
    <row r="915" spans="1:10" thickTop="1" thickBot="1" x14ac:dyDescent="0.6">
      <c r="A915" s="15">
        <v>914</v>
      </c>
    </row>
    <row r="916" spans="1:10" thickTop="1" thickBot="1" x14ac:dyDescent="0.6">
      <c r="A916" s="15">
        <v>915</v>
      </c>
      <c r="I916" s="28"/>
    </row>
    <row r="917" spans="1:10" thickTop="1" thickBot="1" x14ac:dyDescent="0.6">
      <c r="A917" s="15">
        <v>916</v>
      </c>
      <c r="B917" s="16">
        <v>1150473</v>
      </c>
      <c r="C917" s="4" t="s">
        <v>1453</v>
      </c>
      <c r="D917" s="25" t="s">
        <v>1454</v>
      </c>
      <c r="E917" s="25" t="s">
        <v>43</v>
      </c>
      <c r="F917" s="4">
        <v>769614375</v>
      </c>
      <c r="G917" s="4" t="str">
        <f>"0"&amp;87448</f>
        <v>087448</v>
      </c>
      <c r="H917" s="26">
        <v>1</v>
      </c>
      <c r="I917" s="28">
        <v>45089</v>
      </c>
    </row>
    <row r="918" spans="1:10" thickTop="1" thickBot="1" x14ac:dyDescent="0.6">
      <c r="A918" s="15">
        <v>917</v>
      </c>
      <c r="B918" s="16">
        <v>1151274</v>
      </c>
      <c r="C918" s="4" t="s">
        <v>1455</v>
      </c>
      <c r="D918" s="25" t="s">
        <v>449</v>
      </c>
      <c r="E918" s="25" t="s">
        <v>370</v>
      </c>
      <c r="F918" s="4">
        <v>771111582</v>
      </c>
      <c r="G918" s="4">
        <v>380611</v>
      </c>
      <c r="H918" s="26">
        <v>1</v>
      </c>
      <c r="I918" s="28">
        <v>45612</v>
      </c>
    </row>
    <row r="919" spans="1:10" thickTop="1" thickBot="1" x14ac:dyDescent="0.6">
      <c r="A919" s="15">
        <v>918</v>
      </c>
    </row>
    <row r="920" spans="1:10" thickTop="1" thickBot="1" x14ac:dyDescent="0.6">
      <c r="A920" s="15">
        <v>919</v>
      </c>
      <c r="B920" s="16">
        <v>1150083</v>
      </c>
      <c r="C920" s="4" t="s">
        <v>1456</v>
      </c>
      <c r="D920" s="25" t="s">
        <v>1457</v>
      </c>
      <c r="E920" s="25" t="s">
        <v>370</v>
      </c>
      <c r="F920" s="4" t="s">
        <v>1458</v>
      </c>
      <c r="G920" s="4">
        <v>682811</v>
      </c>
      <c r="H920" s="26">
        <v>1</v>
      </c>
      <c r="I920" s="28"/>
    </row>
    <row r="921" spans="1:10" thickTop="1" thickBot="1" x14ac:dyDescent="0.6">
      <c r="A921" s="15">
        <v>920</v>
      </c>
      <c r="B921" s="16">
        <v>1150479</v>
      </c>
      <c r="C921" s="4" t="s">
        <v>1459</v>
      </c>
      <c r="D921" s="25" t="s">
        <v>1460</v>
      </c>
      <c r="E921" s="25" t="s">
        <v>507</v>
      </c>
      <c r="F921" s="4">
        <v>728626805</v>
      </c>
      <c r="G921" s="4">
        <v>108681</v>
      </c>
      <c r="H921" s="26">
        <v>1</v>
      </c>
      <c r="I921" s="28">
        <v>45097</v>
      </c>
      <c r="J921" s="27" t="s">
        <v>1461</v>
      </c>
    </row>
    <row r="922" spans="1:10" thickTop="1" thickBot="1" x14ac:dyDescent="0.6">
      <c r="A922" s="15">
        <v>921</v>
      </c>
      <c r="B922" s="16">
        <v>1150956</v>
      </c>
      <c r="C922" s="4" t="s">
        <v>1462</v>
      </c>
      <c r="D922" s="25" t="s">
        <v>1391</v>
      </c>
      <c r="E922" s="25" t="s">
        <v>507</v>
      </c>
      <c r="F922" s="4" t="s">
        <v>1463</v>
      </c>
      <c r="G922" s="4" t="s">
        <v>1464</v>
      </c>
      <c r="H922" s="26">
        <v>4</v>
      </c>
      <c r="I922" s="28">
        <v>45583</v>
      </c>
      <c r="J922" s="27">
        <v>199930111293</v>
      </c>
    </row>
    <row r="923" spans="1:10" thickTop="1" thickBot="1" x14ac:dyDescent="0.6">
      <c r="A923" s="15">
        <v>922</v>
      </c>
      <c r="B923" s="16">
        <v>1151374</v>
      </c>
      <c r="C923" s="4" t="s">
        <v>2713</v>
      </c>
      <c r="D923" s="25" t="s">
        <v>475</v>
      </c>
      <c r="E923" s="25" t="s">
        <v>238</v>
      </c>
      <c r="F923" s="4">
        <v>762693951</v>
      </c>
      <c r="G923" s="4">
        <v>582828</v>
      </c>
      <c r="H923" s="26">
        <v>1</v>
      </c>
      <c r="I923" s="28">
        <v>45697</v>
      </c>
      <c r="J923" s="27">
        <v>195630101823</v>
      </c>
    </row>
    <row r="924" spans="1:10" thickTop="1" thickBot="1" x14ac:dyDescent="0.6">
      <c r="A924" s="15">
        <v>923</v>
      </c>
      <c r="B924" s="16">
        <v>1151328</v>
      </c>
      <c r="C924" s="4" t="s">
        <v>1465</v>
      </c>
      <c r="D924" s="25" t="s">
        <v>1079</v>
      </c>
      <c r="E924" s="25" t="s">
        <v>23</v>
      </c>
      <c r="F924" s="4">
        <v>772977907</v>
      </c>
      <c r="G924" s="4">
        <v>447006</v>
      </c>
      <c r="H924" s="26">
        <v>1</v>
      </c>
      <c r="I924" s="28">
        <v>45627</v>
      </c>
      <c r="J924" s="27" t="s">
        <v>1466</v>
      </c>
    </row>
    <row r="925" spans="1:10" thickTop="1" thickBot="1" x14ac:dyDescent="0.6">
      <c r="A925" s="15">
        <v>924</v>
      </c>
      <c r="B925" s="16">
        <v>1151543</v>
      </c>
      <c r="C925" s="4" t="s">
        <v>1467</v>
      </c>
      <c r="D925" s="25" t="s">
        <v>1468</v>
      </c>
      <c r="E925" s="25" t="s">
        <v>507</v>
      </c>
      <c r="F925" s="4">
        <v>777844164</v>
      </c>
      <c r="G925" s="4">
        <v>675211</v>
      </c>
      <c r="H925" s="26">
        <v>1</v>
      </c>
    </row>
    <row r="926" spans="1:10" thickTop="1" thickBot="1" x14ac:dyDescent="0.6">
      <c r="A926" s="15">
        <v>925</v>
      </c>
      <c r="B926" s="16">
        <v>1151585</v>
      </c>
      <c r="C926" s="4" t="s">
        <v>3365</v>
      </c>
      <c r="D926" s="25" t="s">
        <v>3366</v>
      </c>
      <c r="E926" s="25" t="s">
        <v>507</v>
      </c>
      <c r="F926" s="4" t="s">
        <v>3367</v>
      </c>
      <c r="G926" s="4">
        <v>834732</v>
      </c>
      <c r="H926" s="26">
        <v>1</v>
      </c>
      <c r="I926" s="28">
        <v>45919</v>
      </c>
      <c r="J926" s="27" t="s">
        <v>3368</v>
      </c>
    </row>
    <row r="927" spans="1:10" thickTop="1" thickBot="1" x14ac:dyDescent="0.6">
      <c r="A927" s="15">
        <v>926</v>
      </c>
      <c r="B927" s="16">
        <v>1151166</v>
      </c>
      <c r="C927" s="4" t="s">
        <v>1469</v>
      </c>
      <c r="D927" s="25" t="s">
        <v>1470</v>
      </c>
      <c r="E927" s="25" t="s">
        <v>50</v>
      </c>
      <c r="F927" s="4">
        <v>774745326</v>
      </c>
      <c r="G927" s="4">
        <v>395148</v>
      </c>
      <c r="H927" s="26">
        <v>1</v>
      </c>
      <c r="I927" s="28">
        <v>45628</v>
      </c>
      <c r="J927" s="27" t="s">
        <v>1471</v>
      </c>
    </row>
    <row r="928" spans="1:10" thickTop="1" thickBot="1" x14ac:dyDescent="0.6">
      <c r="A928" s="15">
        <v>927</v>
      </c>
    </row>
    <row r="929" spans="1:10" thickTop="1" thickBot="1" x14ac:dyDescent="0.6">
      <c r="A929" s="15">
        <v>928</v>
      </c>
    </row>
    <row r="930" spans="1:10" thickTop="1" thickBot="1" x14ac:dyDescent="0.6">
      <c r="A930" s="15">
        <v>929</v>
      </c>
      <c r="B930" s="16">
        <v>1151295</v>
      </c>
      <c r="C930" s="4" t="s">
        <v>1472</v>
      </c>
      <c r="D930" s="25" t="s">
        <v>686</v>
      </c>
      <c r="E930" s="25" t="s">
        <v>6</v>
      </c>
      <c r="F930" s="4" t="s">
        <v>1473</v>
      </c>
      <c r="G930" s="4">
        <v>207780</v>
      </c>
      <c r="H930" s="26">
        <v>1</v>
      </c>
      <c r="I930" s="28">
        <v>45613</v>
      </c>
      <c r="J930" s="27">
        <v>19618590068</v>
      </c>
    </row>
    <row r="931" spans="1:10" thickTop="1" thickBot="1" x14ac:dyDescent="0.6">
      <c r="A931" s="15">
        <v>930</v>
      </c>
    </row>
    <row r="932" spans="1:10" thickTop="1" thickBot="1" x14ac:dyDescent="0.6">
      <c r="A932" s="15">
        <v>931</v>
      </c>
      <c r="B932" s="16">
        <v>1150828</v>
      </c>
      <c r="C932" s="4" t="s">
        <v>1474</v>
      </c>
      <c r="D932" s="25" t="s">
        <v>1475</v>
      </c>
      <c r="E932" s="25" t="s">
        <v>6</v>
      </c>
      <c r="F932" s="4" t="s">
        <v>1476</v>
      </c>
      <c r="G932" s="4">
        <v>141443</v>
      </c>
      <c r="H932" s="26">
        <v>1</v>
      </c>
      <c r="I932" s="28">
        <v>45543</v>
      </c>
      <c r="J932" s="27" t="s">
        <v>1477</v>
      </c>
    </row>
    <row r="933" spans="1:10" thickTop="1" thickBot="1" x14ac:dyDescent="0.6">
      <c r="A933" s="15">
        <v>932</v>
      </c>
    </row>
    <row r="934" spans="1:10" thickTop="1" thickBot="1" x14ac:dyDescent="0.6">
      <c r="A934" s="15">
        <v>933</v>
      </c>
      <c r="B934" s="16">
        <v>1150867</v>
      </c>
      <c r="C934" s="4" t="s">
        <v>1478</v>
      </c>
      <c r="D934" s="25" t="s">
        <v>1345</v>
      </c>
      <c r="E934" s="25" t="s">
        <v>6</v>
      </c>
      <c r="F934" s="4">
        <v>777544555</v>
      </c>
      <c r="G934" s="4">
        <v>247794</v>
      </c>
      <c r="H934" s="26">
        <v>1</v>
      </c>
      <c r="I934" s="28">
        <v>45569</v>
      </c>
      <c r="J934" s="27">
        <v>198936402900</v>
      </c>
    </row>
    <row r="935" spans="1:10" thickTop="1" thickBot="1" x14ac:dyDescent="0.6">
      <c r="A935" s="15">
        <v>934</v>
      </c>
    </row>
    <row r="936" spans="1:10" thickTop="1" thickBot="1" x14ac:dyDescent="0.6">
      <c r="A936" s="15">
        <v>935</v>
      </c>
      <c r="B936" s="16">
        <v>1150727</v>
      </c>
      <c r="C936" s="4" t="s">
        <v>1479</v>
      </c>
      <c r="D936" s="25" t="s">
        <v>608</v>
      </c>
      <c r="E936" s="25" t="s">
        <v>370</v>
      </c>
      <c r="F936" s="4" t="s">
        <v>1480</v>
      </c>
      <c r="G936" s="4" t="str">
        <f>"0"&amp;94527</f>
        <v>094527</v>
      </c>
      <c r="H936" s="26">
        <v>1</v>
      </c>
      <c r="I936" s="28">
        <v>45484</v>
      </c>
      <c r="J936" s="27" t="s">
        <v>1481</v>
      </c>
    </row>
    <row r="937" spans="1:10" thickTop="1" thickBot="1" x14ac:dyDescent="0.6">
      <c r="A937" s="15">
        <v>936</v>
      </c>
      <c r="B937" s="16">
        <v>1151134</v>
      </c>
      <c r="C937" s="4" t="s">
        <v>1482</v>
      </c>
      <c r="D937" s="25" t="s">
        <v>1483</v>
      </c>
      <c r="E937" s="25" t="s">
        <v>370</v>
      </c>
      <c r="F937" s="4">
        <v>777004969</v>
      </c>
      <c r="G937" s="4">
        <v>103047</v>
      </c>
      <c r="H937" s="26">
        <v>1</v>
      </c>
      <c r="I937" s="28">
        <v>45604</v>
      </c>
      <c r="J937" s="27" t="s">
        <v>1484</v>
      </c>
    </row>
    <row r="938" spans="1:10" thickTop="1" thickBot="1" x14ac:dyDescent="0.6">
      <c r="A938" s="15">
        <v>937</v>
      </c>
      <c r="B938" s="16">
        <v>1151315</v>
      </c>
      <c r="C938" s="4" t="s">
        <v>1485</v>
      </c>
      <c r="D938" s="25" t="s">
        <v>1486</v>
      </c>
      <c r="E938" s="25" t="s">
        <v>370</v>
      </c>
      <c r="F938" s="4">
        <v>771634192</v>
      </c>
      <c r="G938" s="4">
        <v>215056</v>
      </c>
      <c r="H938" s="26">
        <v>1</v>
      </c>
      <c r="I938" s="28">
        <v>45622</v>
      </c>
      <c r="J938" s="27" t="s">
        <v>1487</v>
      </c>
    </row>
    <row r="939" spans="1:10" thickTop="1" thickBot="1" x14ac:dyDescent="0.6">
      <c r="A939" s="15">
        <v>938</v>
      </c>
    </row>
    <row r="940" spans="1:10" thickTop="1" thickBot="1" x14ac:dyDescent="0.6">
      <c r="A940" s="15">
        <v>939</v>
      </c>
      <c r="B940" s="16">
        <v>1150990</v>
      </c>
      <c r="C940" s="4" t="s">
        <v>1488</v>
      </c>
      <c r="D940" s="25" t="s">
        <v>622</v>
      </c>
      <c r="E940" s="25" t="s">
        <v>6</v>
      </c>
      <c r="F940" s="4">
        <v>715224256</v>
      </c>
      <c r="G940" s="4">
        <v>269368</v>
      </c>
      <c r="H940" s="26">
        <v>1</v>
      </c>
      <c r="I940" s="28">
        <v>45592</v>
      </c>
      <c r="J940" s="27" t="s">
        <v>1489</v>
      </c>
    </row>
    <row r="941" spans="1:10" thickTop="1" thickBot="1" x14ac:dyDescent="0.6">
      <c r="A941" s="15">
        <v>940</v>
      </c>
      <c r="B941" s="16">
        <v>1151008</v>
      </c>
      <c r="C941" s="4" t="s">
        <v>1490</v>
      </c>
      <c r="D941" s="25" t="s">
        <v>1003</v>
      </c>
      <c r="E941" s="25" t="s">
        <v>6</v>
      </c>
      <c r="F941" s="4">
        <v>740946346</v>
      </c>
      <c r="G941" s="4">
        <v>191992</v>
      </c>
      <c r="H941" s="26">
        <v>1</v>
      </c>
      <c r="I941" s="28">
        <v>45592</v>
      </c>
      <c r="J941" s="27">
        <v>197951304395</v>
      </c>
    </row>
    <row r="942" spans="1:10" thickTop="1" thickBot="1" x14ac:dyDescent="0.6">
      <c r="A942" s="15">
        <v>941</v>
      </c>
      <c r="B942" s="16">
        <v>1150410</v>
      </c>
      <c r="C942" s="4" t="s">
        <v>1491</v>
      </c>
      <c r="D942" s="25" t="s">
        <v>224</v>
      </c>
      <c r="E942" s="25" t="s">
        <v>23</v>
      </c>
      <c r="F942" s="4">
        <v>776651733</v>
      </c>
      <c r="G942" s="4">
        <v>114945</v>
      </c>
      <c r="H942" s="26">
        <v>1</v>
      </c>
      <c r="I942" s="28">
        <v>44965</v>
      </c>
      <c r="J942" s="27" t="s">
        <v>1492</v>
      </c>
    </row>
    <row r="943" spans="1:10" thickTop="1" thickBot="1" x14ac:dyDescent="0.6">
      <c r="A943" s="15">
        <v>942</v>
      </c>
    </row>
    <row r="944" spans="1:10" thickTop="1" thickBot="1" x14ac:dyDescent="0.6">
      <c r="A944" s="15">
        <v>943</v>
      </c>
      <c r="B944" s="16">
        <v>1150430</v>
      </c>
      <c r="C944" s="4" t="s">
        <v>1493</v>
      </c>
      <c r="D944" s="25" t="s">
        <v>1494</v>
      </c>
      <c r="E944" s="25" t="s">
        <v>17</v>
      </c>
      <c r="F944" s="4">
        <v>778481621</v>
      </c>
      <c r="G944" s="4" t="str">
        <f>"0"&amp;98593</f>
        <v>098593</v>
      </c>
      <c r="H944" s="26">
        <v>1</v>
      </c>
      <c r="I944" s="28">
        <v>44977</v>
      </c>
      <c r="J944" s="27" t="s">
        <v>1495</v>
      </c>
    </row>
    <row r="945" spans="1:10" thickTop="1" thickBot="1" x14ac:dyDescent="0.6">
      <c r="A945" s="15">
        <v>944</v>
      </c>
    </row>
    <row r="946" spans="1:10" thickTop="1" thickBot="1" x14ac:dyDescent="0.6">
      <c r="A946" s="15">
        <v>945</v>
      </c>
    </row>
    <row r="947" spans="1:10" thickTop="1" thickBot="1" x14ac:dyDescent="0.6">
      <c r="A947" s="15">
        <v>946</v>
      </c>
      <c r="B947" s="16">
        <v>1151341</v>
      </c>
      <c r="C947" s="4" t="s">
        <v>1496</v>
      </c>
      <c r="D947" s="25" t="s">
        <v>1264</v>
      </c>
      <c r="E947" s="25" t="s">
        <v>50</v>
      </c>
      <c r="F947" s="4" t="s">
        <v>1497</v>
      </c>
      <c r="G947" s="4">
        <v>451552</v>
      </c>
      <c r="H947" s="26">
        <v>1</v>
      </c>
      <c r="I947" s="28">
        <v>45641</v>
      </c>
      <c r="J947" s="27">
        <v>200319013830</v>
      </c>
    </row>
    <row r="948" spans="1:10" thickTop="1" thickBot="1" x14ac:dyDescent="0.6">
      <c r="A948" s="15">
        <v>947</v>
      </c>
    </row>
    <row r="949" spans="1:10" thickTop="1" thickBot="1" x14ac:dyDescent="0.6">
      <c r="A949" s="15">
        <v>948</v>
      </c>
      <c r="B949" s="16">
        <v>1150654</v>
      </c>
      <c r="C949" s="4" t="s">
        <v>1498</v>
      </c>
      <c r="D949" s="25" t="s">
        <v>1499</v>
      </c>
      <c r="E949" s="25" t="s">
        <v>50</v>
      </c>
      <c r="F949" s="4">
        <v>776519523</v>
      </c>
      <c r="G949" s="4">
        <v>121171</v>
      </c>
      <c r="H949" s="26">
        <v>1</v>
      </c>
      <c r="I949" s="28">
        <v>45378</v>
      </c>
      <c r="J949" s="27" t="s">
        <v>1500</v>
      </c>
    </row>
    <row r="950" spans="1:10" thickTop="1" thickBot="1" x14ac:dyDescent="0.6">
      <c r="A950" s="15">
        <v>949</v>
      </c>
    </row>
    <row r="951" spans="1:10" thickTop="1" thickBot="1" x14ac:dyDescent="0.6">
      <c r="A951" s="15">
        <v>950</v>
      </c>
      <c r="B951" s="16">
        <v>1150014</v>
      </c>
      <c r="C951" s="4" t="s">
        <v>3274</v>
      </c>
      <c r="D951" s="25" t="s">
        <v>1501</v>
      </c>
      <c r="E951" s="25" t="s">
        <v>50</v>
      </c>
      <c r="F951" s="4">
        <v>776981009</v>
      </c>
      <c r="G951" s="4">
        <v>118971</v>
      </c>
      <c r="H951" s="26">
        <v>1</v>
      </c>
      <c r="I951" s="28"/>
    </row>
    <row r="952" spans="1:10" thickTop="1" thickBot="1" x14ac:dyDescent="0.6">
      <c r="A952" s="15">
        <v>951</v>
      </c>
      <c r="B952" s="16">
        <v>1151107</v>
      </c>
      <c r="C952" s="4" t="s">
        <v>2962</v>
      </c>
      <c r="D952" s="25" t="s">
        <v>1502</v>
      </c>
      <c r="E952" s="25" t="s">
        <v>50</v>
      </c>
      <c r="F952" s="4">
        <v>777440128</v>
      </c>
      <c r="G952" s="4">
        <v>349376</v>
      </c>
      <c r="H952" s="26">
        <v>1</v>
      </c>
      <c r="I952" s="28">
        <v>45603</v>
      </c>
      <c r="J952" s="27" t="s">
        <v>1503</v>
      </c>
    </row>
    <row r="953" spans="1:10" thickTop="1" thickBot="1" x14ac:dyDescent="0.6">
      <c r="A953" s="15">
        <v>952</v>
      </c>
      <c r="B953" s="16">
        <v>1151356</v>
      </c>
      <c r="C953" s="4" t="s">
        <v>2942</v>
      </c>
      <c r="D953" s="25" t="s">
        <v>2943</v>
      </c>
      <c r="E953" s="25" t="s">
        <v>50</v>
      </c>
      <c r="F953" s="4">
        <v>773756755</v>
      </c>
      <c r="G953" s="4">
        <v>634835</v>
      </c>
      <c r="H953" s="26">
        <v>1</v>
      </c>
      <c r="I953" s="28">
        <v>45687</v>
      </c>
    </row>
    <row r="954" spans="1:10" thickTop="1" thickBot="1" x14ac:dyDescent="0.6">
      <c r="A954" s="15">
        <v>953</v>
      </c>
    </row>
    <row r="955" spans="1:10" thickTop="1" thickBot="1" x14ac:dyDescent="0.6">
      <c r="A955" s="15">
        <v>954</v>
      </c>
    </row>
    <row r="956" spans="1:10" thickTop="1" thickBot="1" x14ac:dyDescent="0.6">
      <c r="A956" s="15">
        <v>955</v>
      </c>
      <c r="B956" s="16">
        <v>1150431</v>
      </c>
      <c r="C956" s="4" t="s">
        <v>1504</v>
      </c>
      <c r="D956" s="25" t="s">
        <v>2806</v>
      </c>
      <c r="E956" s="25" t="s">
        <v>43</v>
      </c>
      <c r="F956" s="4">
        <v>778581021</v>
      </c>
      <c r="G956" s="4">
        <v>102569</v>
      </c>
      <c r="H956" s="26">
        <v>1</v>
      </c>
      <c r="I956" s="28">
        <v>44981</v>
      </c>
      <c r="J956" s="27" t="s">
        <v>1505</v>
      </c>
    </row>
    <row r="957" spans="1:10" thickTop="1" thickBot="1" x14ac:dyDescent="0.6">
      <c r="A957" s="15">
        <v>956</v>
      </c>
      <c r="B957" s="16">
        <v>1151568</v>
      </c>
      <c r="C957" s="4" t="s">
        <v>3316</v>
      </c>
      <c r="D957" s="25" t="s">
        <v>3317</v>
      </c>
      <c r="E957" s="25" t="s">
        <v>43</v>
      </c>
      <c r="F957" s="4" t="s">
        <v>3318</v>
      </c>
      <c r="G957" s="4">
        <v>411853</v>
      </c>
      <c r="H957" s="26">
        <v>1</v>
      </c>
      <c r="I957" s="28">
        <v>45882</v>
      </c>
      <c r="J957" s="27">
        <v>196814510028</v>
      </c>
    </row>
    <row r="958" spans="1:10" thickTop="1" thickBot="1" x14ac:dyDescent="0.6">
      <c r="A958" s="15">
        <v>957</v>
      </c>
    </row>
    <row r="959" spans="1:10" thickTop="1" thickBot="1" x14ac:dyDescent="0.6">
      <c r="A959" s="15">
        <v>958</v>
      </c>
      <c r="I959" s="28"/>
    </row>
    <row r="960" spans="1:10" thickTop="1" thickBot="1" x14ac:dyDescent="0.6">
      <c r="A960" s="15">
        <v>959</v>
      </c>
      <c r="B960" s="16">
        <v>1150490</v>
      </c>
      <c r="C960" s="4" t="s">
        <v>1506</v>
      </c>
      <c r="D960" s="25" t="s">
        <v>1507</v>
      </c>
      <c r="E960" s="25" t="s">
        <v>50</v>
      </c>
      <c r="F960" s="4" t="s">
        <v>1508</v>
      </c>
      <c r="G960" s="4" t="str">
        <f>"0"&amp;45958</f>
        <v>045958</v>
      </c>
      <c r="H960" s="26">
        <v>1</v>
      </c>
      <c r="I960" s="28">
        <v>45124</v>
      </c>
    </row>
    <row r="961" spans="1:10" thickTop="1" thickBot="1" x14ac:dyDescent="0.6">
      <c r="A961" s="15">
        <v>960</v>
      </c>
      <c r="B961" s="16">
        <v>1151560</v>
      </c>
      <c r="C961" s="4" t="s">
        <v>3297</v>
      </c>
      <c r="D961" s="25" t="s">
        <v>3298</v>
      </c>
      <c r="E961" s="25" t="s">
        <v>50</v>
      </c>
      <c r="F961" s="4" t="s">
        <v>3299</v>
      </c>
      <c r="G961" s="4">
        <v>441298</v>
      </c>
      <c r="H961" s="26">
        <v>1</v>
      </c>
      <c r="I961" s="28">
        <v>45860</v>
      </c>
    </row>
    <row r="962" spans="1:10" thickTop="1" thickBot="1" x14ac:dyDescent="0.6">
      <c r="A962" s="15">
        <v>961</v>
      </c>
    </row>
    <row r="963" spans="1:10" thickTop="1" thickBot="1" x14ac:dyDescent="0.6">
      <c r="A963" s="15">
        <v>962</v>
      </c>
    </row>
    <row r="964" spans="1:10" thickTop="1" thickBot="1" x14ac:dyDescent="0.6">
      <c r="A964" s="15">
        <v>963</v>
      </c>
      <c r="B964" s="16">
        <v>1151108</v>
      </c>
      <c r="C964" s="4" t="s">
        <v>1509</v>
      </c>
      <c r="D964" s="25" t="s">
        <v>863</v>
      </c>
      <c r="E964" s="25" t="s">
        <v>23</v>
      </c>
      <c r="F964" s="4">
        <v>774118858</v>
      </c>
      <c r="G964" s="4">
        <v>310980</v>
      </c>
      <c r="H964" s="26">
        <v>1</v>
      </c>
      <c r="I964" s="28">
        <v>45603</v>
      </c>
      <c r="J964" s="27">
        <v>200529903208</v>
      </c>
    </row>
    <row r="965" spans="1:10" thickTop="1" thickBot="1" x14ac:dyDescent="0.6">
      <c r="A965" s="15">
        <v>964</v>
      </c>
      <c r="B965" s="16">
        <v>1151030</v>
      </c>
      <c r="C965" s="4" t="s">
        <v>1510</v>
      </c>
      <c r="D965" s="25" t="s">
        <v>224</v>
      </c>
      <c r="E965" s="25" t="s">
        <v>23</v>
      </c>
      <c r="F965" s="4" t="s">
        <v>1511</v>
      </c>
      <c r="G965" s="4">
        <v>361439</v>
      </c>
      <c r="H965" s="26">
        <v>1</v>
      </c>
      <c r="I965" s="28">
        <v>45594</v>
      </c>
      <c r="J965" s="27">
        <v>196610002956</v>
      </c>
    </row>
    <row r="966" spans="1:10" thickTop="1" thickBot="1" x14ac:dyDescent="0.6">
      <c r="A966" s="15">
        <v>965</v>
      </c>
    </row>
    <row r="967" spans="1:10" thickTop="1" thickBot="1" x14ac:dyDescent="0.6">
      <c r="A967" s="15">
        <v>966</v>
      </c>
      <c r="I967" s="28"/>
    </row>
    <row r="968" spans="1:10" thickTop="1" thickBot="1" x14ac:dyDescent="0.6">
      <c r="A968" s="15">
        <v>967</v>
      </c>
    </row>
    <row r="969" spans="1:10" thickTop="1" thickBot="1" x14ac:dyDescent="0.6">
      <c r="A969" s="15">
        <v>968</v>
      </c>
    </row>
    <row r="970" spans="1:10" thickTop="1" thickBot="1" x14ac:dyDescent="0.6">
      <c r="A970" s="15">
        <v>969</v>
      </c>
      <c r="B970" s="16">
        <v>1150441</v>
      </c>
      <c r="C970" s="4" t="s">
        <v>1512</v>
      </c>
      <c r="D970" s="25" t="s">
        <v>243</v>
      </c>
      <c r="E970" s="25" t="s">
        <v>6</v>
      </c>
      <c r="F970" s="4">
        <v>775933475</v>
      </c>
      <c r="G970" s="4">
        <v>105554</v>
      </c>
      <c r="H970" s="26">
        <v>1</v>
      </c>
      <c r="I970" s="28">
        <v>45001</v>
      </c>
      <c r="J970" s="27" t="s">
        <v>1513</v>
      </c>
    </row>
    <row r="971" spans="1:10" thickTop="1" thickBot="1" x14ac:dyDescent="0.6">
      <c r="A971" s="15">
        <v>970</v>
      </c>
      <c r="B971" s="16">
        <v>1151070</v>
      </c>
      <c r="C971" s="4" t="s">
        <v>1514</v>
      </c>
      <c r="D971" s="25" t="s">
        <v>3111</v>
      </c>
      <c r="E971" s="25" t="s">
        <v>78</v>
      </c>
      <c r="F971" s="4">
        <v>705566679</v>
      </c>
      <c r="G971" s="4">
        <v>191398</v>
      </c>
      <c r="H971" s="26">
        <v>1</v>
      </c>
      <c r="I971" s="28">
        <v>45601</v>
      </c>
      <c r="J971" s="27">
        <v>197158203802</v>
      </c>
    </row>
    <row r="972" spans="1:10" thickTop="1" thickBot="1" x14ac:dyDescent="0.6">
      <c r="A972" s="15">
        <v>971</v>
      </c>
      <c r="B972" s="16">
        <v>1151114</v>
      </c>
      <c r="C972" s="4" t="s">
        <v>1515</v>
      </c>
      <c r="D972" s="25" t="s">
        <v>1516</v>
      </c>
      <c r="E972" s="25" t="s">
        <v>6</v>
      </c>
      <c r="F972" s="4">
        <v>762873606</v>
      </c>
      <c r="G972" s="4">
        <v>183841</v>
      </c>
      <c r="H972" s="26">
        <v>1</v>
      </c>
      <c r="I972" s="28">
        <v>45604</v>
      </c>
      <c r="J972" s="27" t="s">
        <v>1517</v>
      </c>
    </row>
    <row r="973" spans="1:10" thickTop="1" thickBot="1" x14ac:dyDescent="0.6">
      <c r="A973" s="15">
        <v>972</v>
      </c>
    </row>
    <row r="974" spans="1:10" thickTop="1" thickBot="1" x14ac:dyDescent="0.6">
      <c r="A974" s="15">
        <v>973</v>
      </c>
      <c r="B974" s="16">
        <v>1150785</v>
      </c>
      <c r="C974" s="4" t="s">
        <v>1518</v>
      </c>
      <c r="D974" s="25" t="s">
        <v>138</v>
      </c>
      <c r="E974" s="25" t="s">
        <v>6</v>
      </c>
      <c r="F974" s="4" t="s">
        <v>1519</v>
      </c>
      <c r="G974" s="4" t="str">
        <f>"0"&amp;90632</f>
        <v>090632</v>
      </c>
      <c r="H974" s="26">
        <v>1</v>
      </c>
      <c r="I974" s="28">
        <v>45527</v>
      </c>
      <c r="J974" s="27">
        <v>197060204040</v>
      </c>
    </row>
    <row r="975" spans="1:10" thickTop="1" thickBot="1" x14ac:dyDescent="0.6">
      <c r="A975" s="15">
        <v>974</v>
      </c>
    </row>
    <row r="976" spans="1:10" thickTop="1" thickBot="1" x14ac:dyDescent="0.6">
      <c r="A976" s="15">
        <v>975</v>
      </c>
    </row>
    <row r="977" spans="1:10" thickTop="1" thickBot="1" x14ac:dyDescent="0.6">
      <c r="A977" s="15">
        <v>976</v>
      </c>
    </row>
    <row r="978" spans="1:10" thickTop="1" thickBot="1" x14ac:dyDescent="0.6">
      <c r="A978" s="15">
        <v>977</v>
      </c>
      <c r="B978" s="16">
        <v>1151268</v>
      </c>
      <c r="C978" s="4" t="s">
        <v>1520</v>
      </c>
      <c r="D978" s="25" t="s">
        <v>1249</v>
      </c>
      <c r="E978" s="25" t="s">
        <v>24</v>
      </c>
      <c r="F978" s="4">
        <v>775190375</v>
      </c>
      <c r="G978" s="4">
        <v>354269</v>
      </c>
      <c r="H978" s="26">
        <v>1</v>
      </c>
      <c r="I978" s="28">
        <v>45610</v>
      </c>
      <c r="J978" s="27">
        <v>197301103293</v>
      </c>
    </row>
    <row r="979" spans="1:10" thickTop="1" thickBot="1" x14ac:dyDescent="0.6">
      <c r="A979" s="15">
        <v>978</v>
      </c>
      <c r="I979" s="28"/>
    </row>
    <row r="980" spans="1:10" thickTop="1" thickBot="1" x14ac:dyDescent="0.6">
      <c r="A980" s="15">
        <v>979</v>
      </c>
      <c r="B980" s="16">
        <v>1150797</v>
      </c>
      <c r="C980" s="4" t="s">
        <v>1521</v>
      </c>
      <c r="D980" s="25" t="s">
        <v>1522</v>
      </c>
      <c r="E980" s="25" t="s">
        <v>78</v>
      </c>
      <c r="F980" s="4" t="s">
        <v>1523</v>
      </c>
      <c r="G980" s="4">
        <v>149263</v>
      </c>
      <c r="H980" s="26">
        <v>1</v>
      </c>
      <c r="I980" s="28">
        <v>45531</v>
      </c>
      <c r="J980" s="27" t="s">
        <v>1524</v>
      </c>
    </row>
    <row r="981" spans="1:10" thickTop="1" thickBot="1" x14ac:dyDescent="0.6">
      <c r="A981" s="15">
        <v>980</v>
      </c>
      <c r="B981" s="16">
        <v>1150919</v>
      </c>
      <c r="C981" s="4" t="s">
        <v>1525</v>
      </c>
      <c r="D981" s="25" t="s">
        <v>1526</v>
      </c>
      <c r="E981" s="25" t="s">
        <v>24</v>
      </c>
      <c r="F981" s="4">
        <v>719777081</v>
      </c>
      <c r="G981" s="4">
        <v>385149</v>
      </c>
      <c r="H981" s="26">
        <v>1</v>
      </c>
      <c r="I981" s="28">
        <v>45578</v>
      </c>
      <c r="J981" s="27" t="s">
        <v>1527</v>
      </c>
    </row>
    <row r="982" spans="1:10" thickTop="1" thickBot="1" x14ac:dyDescent="0.6">
      <c r="A982" s="15">
        <v>981</v>
      </c>
      <c r="B982" s="16">
        <v>1151586</v>
      </c>
      <c r="C982" s="4" t="s">
        <v>1528</v>
      </c>
      <c r="D982" s="25" t="s">
        <v>1529</v>
      </c>
      <c r="E982" s="25" t="s">
        <v>43</v>
      </c>
      <c r="F982" s="4" t="s">
        <v>3371</v>
      </c>
      <c r="G982" s="4">
        <v>177322</v>
      </c>
      <c r="H982" s="26">
        <v>1</v>
      </c>
      <c r="I982" s="28">
        <v>45921</v>
      </c>
      <c r="J982" s="27" t="s">
        <v>1530</v>
      </c>
    </row>
    <row r="983" spans="1:10" thickTop="1" thickBot="1" x14ac:dyDescent="0.6">
      <c r="A983" s="15">
        <v>982</v>
      </c>
      <c r="B983" s="16">
        <v>1150445</v>
      </c>
      <c r="C983" s="4" t="s">
        <v>1531</v>
      </c>
      <c r="E983" s="25" t="s">
        <v>238</v>
      </c>
      <c r="F983" s="4">
        <v>773290026</v>
      </c>
      <c r="G983" s="4" t="str">
        <f>"0"&amp;69693</f>
        <v>069693</v>
      </c>
      <c r="H983" s="26">
        <v>1</v>
      </c>
      <c r="I983" s="28">
        <v>45009</v>
      </c>
      <c r="J983" s="27" t="s">
        <v>1532</v>
      </c>
    </row>
    <row r="984" spans="1:10" thickTop="1" thickBot="1" x14ac:dyDescent="0.6">
      <c r="A984" s="15">
        <v>983</v>
      </c>
    </row>
    <row r="985" spans="1:10" thickTop="1" thickBot="1" x14ac:dyDescent="0.6">
      <c r="A985" s="15">
        <v>984</v>
      </c>
      <c r="B985" s="16">
        <v>1150723</v>
      </c>
      <c r="C985" s="4" t="s">
        <v>1533</v>
      </c>
      <c r="D985" s="25" t="s">
        <v>1534</v>
      </c>
      <c r="E985" s="25" t="s">
        <v>23</v>
      </c>
      <c r="F985" s="4">
        <v>712182721</v>
      </c>
      <c r="G985" s="4" t="str">
        <f>"0"&amp;95672</f>
        <v>095672</v>
      </c>
      <c r="H985" s="26">
        <v>1</v>
      </c>
      <c r="I985" s="28">
        <v>45483</v>
      </c>
      <c r="J985" s="27" t="s">
        <v>1535</v>
      </c>
    </row>
    <row r="986" spans="1:10" thickTop="1" thickBot="1" x14ac:dyDescent="0.6">
      <c r="A986" s="15">
        <v>985</v>
      </c>
      <c r="B986" s="16">
        <v>1150450</v>
      </c>
      <c r="C986" s="4" t="s">
        <v>1536</v>
      </c>
      <c r="E986" s="25" t="s">
        <v>50</v>
      </c>
      <c r="F986" s="4">
        <v>778605808</v>
      </c>
      <c r="G986" s="4" t="str">
        <f>"0"&amp;64231</f>
        <v>064231</v>
      </c>
      <c r="H986" s="26">
        <v>1</v>
      </c>
      <c r="I986" s="28">
        <v>45023</v>
      </c>
      <c r="J986" s="27" t="s">
        <v>1537</v>
      </c>
    </row>
    <row r="987" spans="1:10" thickTop="1" thickBot="1" x14ac:dyDescent="0.6">
      <c r="A987" s="15">
        <v>986</v>
      </c>
      <c r="I987" s="28"/>
    </row>
    <row r="988" spans="1:10" thickTop="1" thickBot="1" x14ac:dyDescent="0.6">
      <c r="A988" s="15">
        <v>987</v>
      </c>
      <c r="I988" s="28"/>
    </row>
    <row r="989" spans="1:10" thickTop="1" thickBot="1" x14ac:dyDescent="0.6">
      <c r="A989" s="15">
        <v>988</v>
      </c>
      <c r="I989" s="28"/>
    </row>
    <row r="990" spans="1:10" thickTop="1" thickBot="1" x14ac:dyDescent="0.6">
      <c r="A990" s="15">
        <v>989</v>
      </c>
    </row>
    <row r="991" spans="1:10" thickTop="1" thickBot="1" x14ac:dyDescent="0.6">
      <c r="A991" s="15">
        <v>990</v>
      </c>
      <c r="I991" s="28"/>
    </row>
    <row r="992" spans="1:10" thickTop="1" thickBot="1" x14ac:dyDescent="0.6">
      <c r="A992" s="15">
        <v>991</v>
      </c>
      <c r="B992" s="16">
        <v>1150730</v>
      </c>
      <c r="C992" s="4" t="s">
        <v>1538</v>
      </c>
      <c r="D992" s="25" t="s">
        <v>1539</v>
      </c>
      <c r="E992" s="25" t="s">
        <v>23</v>
      </c>
      <c r="F992" s="4">
        <v>773123535</v>
      </c>
      <c r="G992" s="4">
        <v>139843</v>
      </c>
      <c r="H992" s="26">
        <v>1</v>
      </c>
      <c r="I992" s="28">
        <v>45487</v>
      </c>
    </row>
    <row r="993" spans="1:10" thickTop="1" thickBot="1" x14ac:dyDescent="0.6">
      <c r="A993" s="15">
        <v>992</v>
      </c>
      <c r="I993" s="28"/>
    </row>
    <row r="994" spans="1:10" thickTop="1" thickBot="1" x14ac:dyDescent="0.6">
      <c r="A994" s="15">
        <v>993</v>
      </c>
      <c r="B994" s="16">
        <v>1150836</v>
      </c>
      <c r="C994" s="4" t="s">
        <v>1540</v>
      </c>
      <c r="D994" s="25" t="s">
        <v>1541</v>
      </c>
      <c r="E994" s="25" t="s">
        <v>78</v>
      </c>
      <c r="F994" s="4">
        <v>779977621</v>
      </c>
      <c r="G994" s="4" t="str">
        <f>"0"&amp;98122</f>
        <v>098122</v>
      </c>
      <c r="H994" s="26">
        <v>1</v>
      </c>
      <c r="I994" s="28">
        <v>45552</v>
      </c>
      <c r="J994" s="27">
        <v>197170102089</v>
      </c>
    </row>
    <row r="995" spans="1:10" thickTop="1" thickBot="1" x14ac:dyDescent="0.6">
      <c r="A995" s="15">
        <v>994</v>
      </c>
      <c r="I995" s="28"/>
    </row>
    <row r="996" spans="1:10" thickTop="1" thickBot="1" x14ac:dyDescent="0.6">
      <c r="A996" s="15">
        <v>995</v>
      </c>
      <c r="B996" s="16">
        <v>1150455</v>
      </c>
      <c r="C996" s="4" t="s">
        <v>1542</v>
      </c>
      <c r="D996" s="25" t="s">
        <v>1543</v>
      </c>
      <c r="E996" s="25" t="s">
        <v>238</v>
      </c>
      <c r="F996" s="4" t="s">
        <v>1544</v>
      </c>
      <c r="G996" s="4" t="str">
        <f>"0"&amp;56187</f>
        <v>056187</v>
      </c>
      <c r="H996" s="26">
        <v>1</v>
      </c>
      <c r="I996" s="28">
        <v>45047</v>
      </c>
      <c r="J996" s="27" t="s">
        <v>1545</v>
      </c>
    </row>
    <row r="997" spans="1:10" thickTop="1" thickBot="1" x14ac:dyDescent="0.6">
      <c r="A997" s="15">
        <v>996</v>
      </c>
      <c r="I997" s="28"/>
    </row>
    <row r="998" spans="1:10" thickTop="1" thickBot="1" x14ac:dyDescent="0.6">
      <c r="A998" s="15">
        <v>997</v>
      </c>
    </row>
    <row r="999" spans="1:10" thickTop="1" thickBot="1" x14ac:dyDescent="0.6">
      <c r="A999" s="15">
        <v>998</v>
      </c>
      <c r="B999" s="16">
        <v>1150458</v>
      </c>
      <c r="C999" s="4" t="s">
        <v>1546</v>
      </c>
      <c r="D999" s="25" t="s">
        <v>1547</v>
      </c>
      <c r="E999" s="25" t="s">
        <v>43</v>
      </c>
      <c r="F999" s="4">
        <v>711038683</v>
      </c>
      <c r="G999" s="4">
        <v>124860</v>
      </c>
      <c r="H999" s="26">
        <v>1</v>
      </c>
      <c r="I999" s="28">
        <v>45414</v>
      </c>
      <c r="J999" s="27" t="s">
        <v>1548</v>
      </c>
    </row>
    <row r="1000" spans="1:10" thickTop="1" thickBot="1" x14ac:dyDescent="0.6">
      <c r="A1000" s="15">
        <v>999</v>
      </c>
    </row>
    <row r="1001" spans="1:10" thickTop="1" thickBot="1" x14ac:dyDescent="0.6">
      <c r="A1001" s="15">
        <v>1000</v>
      </c>
      <c r="I1001" s="28"/>
    </row>
    <row r="1002" spans="1:10" thickTop="1" thickBot="1" x14ac:dyDescent="0.6">
      <c r="A1002" s="15">
        <v>1001</v>
      </c>
      <c r="B1002" s="16">
        <v>1150460</v>
      </c>
      <c r="C1002" s="4" t="s">
        <v>1549</v>
      </c>
      <c r="D1002" s="25" t="s">
        <v>1550</v>
      </c>
      <c r="E1002" s="25" t="s">
        <v>78</v>
      </c>
      <c r="F1002" s="4" t="s">
        <v>1551</v>
      </c>
      <c r="G1002" s="4" t="str">
        <f>"0"&amp;89659</f>
        <v>089659</v>
      </c>
      <c r="H1002" s="26">
        <v>1</v>
      </c>
      <c r="I1002" s="28">
        <v>45051</v>
      </c>
      <c r="J1002" s="27" t="s">
        <v>1552</v>
      </c>
    </row>
    <row r="1003" spans="1:10" thickTop="1" thickBot="1" x14ac:dyDescent="0.6">
      <c r="A1003" s="15">
        <v>1002</v>
      </c>
      <c r="B1003" s="16">
        <v>1150575</v>
      </c>
      <c r="C1003" s="4" t="s">
        <v>1553</v>
      </c>
      <c r="D1003" s="25" t="s">
        <v>1554</v>
      </c>
      <c r="E1003" s="25" t="s">
        <v>161</v>
      </c>
      <c r="F1003" s="4">
        <v>512225387</v>
      </c>
      <c r="G1003" s="4">
        <v>152275</v>
      </c>
      <c r="H1003" s="26">
        <v>1</v>
      </c>
      <c r="I1003" s="28">
        <v>45288</v>
      </c>
      <c r="J1003" s="27">
        <v>196719101792</v>
      </c>
    </row>
    <row r="1004" spans="1:10" thickTop="1" thickBot="1" x14ac:dyDescent="0.6">
      <c r="A1004" s="15">
        <v>1003</v>
      </c>
      <c r="B1004" s="16">
        <v>1151383</v>
      </c>
      <c r="C1004" s="4" t="s">
        <v>2727</v>
      </c>
      <c r="D1004" s="25" t="s">
        <v>1028</v>
      </c>
      <c r="E1004" s="25" t="s">
        <v>52</v>
      </c>
      <c r="F1004" s="4" t="s">
        <v>2728</v>
      </c>
      <c r="G1004" s="4">
        <v>430689</v>
      </c>
      <c r="H1004" s="26">
        <v>1</v>
      </c>
      <c r="I1004" s="28">
        <v>45702</v>
      </c>
      <c r="J1004" s="27">
        <v>200261703774</v>
      </c>
    </row>
    <row r="1005" spans="1:10" thickTop="1" thickBot="1" x14ac:dyDescent="0.6">
      <c r="A1005" s="15">
        <v>1004</v>
      </c>
      <c r="B1005" s="16">
        <v>1150702</v>
      </c>
      <c r="C1005" s="4" t="s">
        <v>1555</v>
      </c>
      <c r="D1005" s="25" t="s">
        <v>1556</v>
      </c>
      <c r="E1005" s="25" t="s">
        <v>12</v>
      </c>
      <c r="F1005" s="4">
        <v>779393138</v>
      </c>
      <c r="G1005" s="4">
        <v>108368</v>
      </c>
      <c r="H1005" s="26">
        <v>1</v>
      </c>
      <c r="I1005" s="28">
        <v>45466</v>
      </c>
      <c r="J1005" s="27" t="s">
        <v>1557</v>
      </c>
    </row>
    <row r="1006" spans="1:10" thickTop="1" thickBot="1" x14ac:dyDescent="0.6">
      <c r="A1006" s="15">
        <v>1005</v>
      </c>
      <c r="I1006" s="28"/>
    </row>
    <row r="1007" spans="1:10" thickTop="1" thickBot="1" x14ac:dyDescent="0.6">
      <c r="A1007" s="15">
        <v>1006</v>
      </c>
      <c r="B1007" s="16">
        <v>1150466</v>
      </c>
      <c r="C1007" s="4" t="s">
        <v>1558</v>
      </c>
      <c r="D1007" s="25" t="s">
        <v>1559</v>
      </c>
      <c r="E1007" s="25" t="s">
        <v>63</v>
      </c>
      <c r="F1007" s="4">
        <v>779397827</v>
      </c>
      <c r="G1007" s="4" t="str">
        <f>"0"&amp;36528</f>
        <v>036528</v>
      </c>
      <c r="H1007" s="26">
        <v>1</v>
      </c>
      <c r="I1007" s="28">
        <v>45067</v>
      </c>
      <c r="J1007" s="27" t="s">
        <v>1560</v>
      </c>
    </row>
    <row r="1008" spans="1:10" thickTop="1" thickBot="1" x14ac:dyDescent="0.6">
      <c r="A1008" s="15">
        <v>1007</v>
      </c>
      <c r="B1008" s="16">
        <v>1151387</v>
      </c>
      <c r="C1008" s="4" t="s">
        <v>2733</v>
      </c>
      <c r="D1008" s="25" t="s">
        <v>2734</v>
      </c>
      <c r="E1008" s="25" t="s">
        <v>249</v>
      </c>
      <c r="F1008" s="4" t="s">
        <v>2735</v>
      </c>
      <c r="G1008" s="4">
        <v>522550</v>
      </c>
      <c r="H1008" s="26">
        <v>1</v>
      </c>
      <c r="I1008" s="28">
        <v>45704</v>
      </c>
      <c r="J1008" s="27" t="s">
        <v>2736</v>
      </c>
    </row>
    <row r="1009" spans="1:11" thickTop="1" thickBot="1" x14ac:dyDescent="0.6">
      <c r="A1009" s="15">
        <v>1008</v>
      </c>
      <c r="B1009" s="16">
        <v>1151217</v>
      </c>
      <c r="C1009" s="4" t="s">
        <v>1561</v>
      </c>
      <c r="D1009" s="25" t="s">
        <v>1562</v>
      </c>
      <c r="E1009" s="25" t="s">
        <v>50</v>
      </c>
      <c r="F1009" s="4" t="s">
        <v>1563</v>
      </c>
      <c r="G1009" s="4" t="s">
        <v>2950</v>
      </c>
      <c r="H1009" s="26">
        <v>6</v>
      </c>
      <c r="I1009" s="28">
        <v>45608</v>
      </c>
      <c r="J1009" s="27" t="s">
        <v>1564</v>
      </c>
    </row>
    <row r="1010" spans="1:11" thickTop="1" thickBot="1" x14ac:dyDescent="0.6">
      <c r="A1010" s="15">
        <v>1009</v>
      </c>
      <c r="B1010" s="16">
        <v>1151544</v>
      </c>
      <c r="C1010" s="4" t="s">
        <v>1565</v>
      </c>
      <c r="D1010" s="25" t="s">
        <v>1566</v>
      </c>
      <c r="E1010" s="25" t="s">
        <v>50</v>
      </c>
      <c r="F1010" s="4" t="s">
        <v>1567</v>
      </c>
      <c r="G1010" s="4">
        <v>221387</v>
      </c>
      <c r="H1010" s="26">
        <v>1</v>
      </c>
      <c r="I1010" s="28"/>
    </row>
    <row r="1011" spans="1:11" s="3" customFormat="1" thickTop="1" thickBot="1" x14ac:dyDescent="0.6">
      <c r="A1011" s="15">
        <v>1010</v>
      </c>
      <c r="B1011" s="16">
        <v>1150467</v>
      </c>
      <c r="C1011" s="34" t="s">
        <v>1568</v>
      </c>
      <c r="D1011" s="25" t="s">
        <v>1569</v>
      </c>
      <c r="E1011" s="25" t="s">
        <v>507</v>
      </c>
      <c r="F1011" s="4">
        <v>773571969</v>
      </c>
      <c r="G1011" s="4">
        <v>118227</v>
      </c>
      <c r="H1011" s="35">
        <v>1</v>
      </c>
      <c r="I1011" s="28">
        <v>45080</v>
      </c>
      <c r="J1011" s="27"/>
      <c r="K1011" s="11"/>
    </row>
    <row r="1012" spans="1:11" s="79" customFormat="1" ht="28.8" thickTop="1" thickBot="1" x14ac:dyDescent="1.1000000000000001">
      <c r="A1012" s="72"/>
      <c r="B1012" s="73"/>
      <c r="C1012" s="74">
        <f>COUNTA(C2:C1011)</f>
        <v>743</v>
      </c>
      <c r="D1012" s="75"/>
      <c r="E1012" s="76">
        <f>COUNTA(E2:E1011)</f>
        <v>738</v>
      </c>
      <c r="F1012" s="76"/>
      <c r="G1012" s="76"/>
      <c r="H1012" s="74">
        <f>SUM(H2:H1011)</f>
        <v>809</v>
      </c>
      <c r="I1012" s="75"/>
      <c r="J1012" s="77"/>
      <c r="K1012" s="78"/>
    </row>
    <row r="1013" spans="1:11" s="88" customFormat="1" ht="4.8" customHeight="1" thickBot="1" x14ac:dyDescent="0.6">
      <c r="A1013" s="80"/>
      <c r="B1013" s="81"/>
      <c r="C1013" s="82"/>
      <c r="D1013" s="83"/>
      <c r="E1013" s="83"/>
      <c r="F1013" s="82"/>
      <c r="G1013" s="82"/>
      <c r="H1013" s="84"/>
      <c r="I1013" s="85"/>
      <c r="J1013" s="86"/>
      <c r="K1013" s="87"/>
    </row>
    <row r="1102" spans="4:4" thickTop="1" thickBot="1" x14ac:dyDescent="0.6">
      <c r="D1102" s="25" t="s">
        <v>1594</v>
      </c>
    </row>
  </sheetData>
  <autoFilter ref="A1:K1043" xr:uid="{00000000-0009-0000-0000-000000000000}"/>
  <conditionalFormatting sqref="A1:A1048576">
    <cfRule type="duplicateValues" dxfId="21" priority="2"/>
  </conditionalFormatting>
  <conditionalFormatting sqref="B213:B1048576 B1:B211">
    <cfRule type="duplicateValues" dxfId="20" priority="7"/>
  </conditionalFormatting>
  <conditionalFormatting sqref="C213:C1048576 C1:C211">
    <cfRule type="duplicateValues" dxfId="19" priority="3"/>
  </conditionalFormatting>
  <conditionalFormatting sqref="D213:D1013 D1:D211 D1044:D1048576">
    <cfRule type="duplicateValues" dxfId="18" priority="14"/>
  </conditionalFormatting>
  <conditionalFormatting sqref="F213:F1013 F1:F211 F1044:F1048576">
    <cfRule type="duplicateValues" dxfId="17" priority="4"/>
  </conditionalFormatting>
  <conditionalFormatting sqref="G1016:G1048576 G213:G1014 G1:G211">
    <cfRule type="duplicateValues" dxfId="16" priority="6"/>
  </conditionalFormatting>
  <conditionalFormatting sqref="J213:J1048576 J1:J211">
    <cfRule type="duplicateValues" dxfId="15" priority="5"/>
  </conditionalFormatting>
  <pageMargins left="0.7" right="0.7" top="0.75" bottom="0.75" header="0.3" footer="0.3"/>
  <pageSetup orientation="portrait" horizontalDpi="180" verticalDpi="18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'C:\Users\abinash abi\OneDrive\Desktop\[ASK-2024.xlsx]ASK'!#REF!</xm:f>
          </x14:formula1>
          <xm:sqref>E497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33CC"/>
  </sheetPr>
  <dimension ref="A1:K1416"/>
  <sheetViews>
    <sheetView zoomScaleNormal="100" workbookViewId="0">
      <pane xSplit="2" ySplit="1" topLeftCell="C1214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defaultColWidth="9.1015625" defaultRowHeight="15" thickTop="1" thickBottom="1" x14ac:dyDescent="0.6"/>
  <cols>
    <col min="1" max="1" width="8.1015625" style="26" customWidth="1"/>
    <col min="2" max="2" width="39.9453125" style="43" customWidth="1"/>
    <col min="3" max="3" width="30" style="6" customWidth="1"/>
    <col min="4" max="4" width="33.41796875" style="25" customWidth="1"/>
    <col min="5" max="5" width="34.3125" style="111" customWidth="1"/>
    <col min="6" max="6" width="24.3125" style="4" customWidth="1"/>
    <col min="7" max="7" width="22.83984375" style="26" customWidth="1"/>
    <col min="8" max="8" width="25.68359375" style="6" customWidth="1"/>
    <col min="9" max="9" width="33.578125" style="6" customWidth="1"/>
    <col min="10" max="10" width="18.1015625" style="4" bestFit="1" customWidth="1"/>
    <col min="11" max="11" width="11.5234375" style="44" bestFit="1" customWidth="1"/>
    <col min="12" max="16384" width="9.1015625" style="2"/>
  </cols>
  <sheetData>
    <row r="1" spans="1:11" s="14" customFormat="1" ht="26.4" customHeight="1" thickTop="1" thickBot="1" x14ac:dyDescent="0.85">
      <c r="A1" s="37" t="s">
        <v>0</v>
      </c>
      <c r="B1" s="37" t="s">
        <v>3451</v>
      </c>
      <c r="C1" s="37" t="s">
        <v>3454</v>
      </c>
      <c r="D1" s="62" t="s">
        <v>3449</v>
      </c>
      <c r="E1" s="110" t="s">
        <v>3455</v>
      </c>
      <c r="F1" s="37" t="s">
        <v>2</v>
      </c>
      <c r="G1" s="37" t="s">
        <v>1595</v>
      </c>
      <c r="H1" s="37" t="s">
        <v>3453</v>
      </c>
      <c r="I1" s="37" t="s">
        <v>3453</v>
      </c>
      <c r="J1" s="37" t="s">
        <v>4</v>
      </c>
      <c r="K1" s="42"/>
    </row>
    <row r="2" spans="1:11" thickTop="1" thickBot="1" x14ac:dyDescent="0.6">
      <c r="A2" s="26">
        <v>1</v>
      </c>
      <c r="B2" s="43">
        <v>1150012</v>
      </c>
      <c r="C2" s="6" t="s">
        <v>1632</v>
      </c>
      <c r="D2" s="25" t="s">
        <v>1634</v>
      </c>
      <c r="E2" s="111" t="s">
        <v>1633</v>
      </c>
      <c r="F2" s="4">
        <v>272868</v>
      </c>
      <c r="G2" s="26">
        <v>1</v>
      </c>
      <c r="H2" s="7">
        <v>45566</v>
      </c>
    </row>
    <row r="3" spans="1:11" thickTop="1" thickBot="1" x14ac:dyDescent="0.6">
      <c r="A3" s="26">
        <v>2</v>
      </c>
      <c r="B3" s="43">
        <v>1151148</v>
      </c>
      <c r="C3" s="6" t="s">
        <v>1635</v>
      </c>
      <c r="D3" s="25" t="s">
        <v>1634</v>
      </c>
      <c r="E3" s="111">
        <v>774497524</v>
      </c>
      <c r="F3" s="4">
        <v>349038</v>
      </c>
      <c r="G3" s="26">
        <v>1</v>
      </c>
      <c r="H3" s="7">
        <v>45605</v>
      </c>
      <c r="J3" s="4" t="s">
        <v>1636</v>
      </c>
    </row>
    <row r="4" spans="1:11" thickTop="1" thickBot="1" x14ac:dyDescent="0.6">
      <c r="A4" s="26">
        <v>3</v>
      </c>
      <c r="B4" s="43">
        <v>1151147</v>
      </c>
      <c r="C4" s="6" t="s">
        <v>1637</v>
      </c>
      <c r="D4" s="25" t="s">
        <v>1634</v>
      </c>
      <c r="E4" s="111" t="s">
        <v>1638</v>
      </c>
      <c r="F4" s="4">
        <v>267057</v>
      </c>
      <c r="G4" s="26">
        <v>1</v>
      </c>
      <c r="H4" s="7">
        <v>45606</v>
      </c>
    </row>
    <row r="5" spans="1:11" thickTop="1" thickBot="1" x14ac:dyDescent="0.6">
      <c r="A5" s="26">
        <v>4</v>
      </c>
      <c r="D5" s="25" t="s">
        <v>1634</v>
      </c>
    </row>
    <row r="6" spans="1:11" thickTop="1" thickBot="1" x14ac:dyDescent="0.6">
      <c r="A6" s="26">
        <v>5</v>
      </c>
      <c r="B6" s="43">
        <v>1151154</v>
      </c>
      <c r="C6" s="6" t="s">
        <v>1639</v>
      </c>
      <c r="D6" s="25" t="s">
        <v>1634</v>
      </c>
      <c r="E6" s="111">
        <v>764448344</v>
      </c>
      <c r="F6" s="4">
        <v>192735</v>
      </c>
      <c r="G6" s="26">
        <v>1</v>
      </c>
      <c r="H6" s="7">
        <v>45605</v>
      </c>
    </row>
    <row r="7" spans="1:11" thickTop="1" thickBot="1" x14ac:dyDescent="0.6">
      <c r="A7" s="26">
        <v>6</v>
      </c>
      <c r="B7" s="43">
        <v>1151272</v>
      </c>
      <c r="C7" s="6" t="s">
        <v>1640</v>
      </c>
      <c r="D7" s="25" t="s">
        <v>1634</v>
      </c>
      <c r="E7" s="111">
        <v>778385466</v>
      </c>
      <c r="F7" s="4">
        <v>281223</v>
      </c>
      <c r="G7" s="26">
        <v>1</v>
      </c>
      <c r="H7" s="7">
        <v>45610</v>
      </c>
    </row>
    <row r="8" spans="1:11" thickTop="1" thickBot="1" x14ac:dyDescent="0.6">
      <c r="A8" s="26">
        <v>7</v>
      </c>
      <c r="B8" s="43">
        <v>1151159</v>
      </c>
      <c r="C8" s="6" t="s">
        <v>1641</v>
      </c>
      <c r="D8" s="25" t="s">
        <v>1634</v>
      </c>
      <c r="E8" s="111" t="s">
        <v>1642</v>
      </c>
      <c r="F8" s="4">
        <v>346273</v>
      </c>
      <c r="G8" s="26">
        <v>1</v>
      </c>
      <c r="H8" s="7">
        <v>45605</v>
      </c>
    </row>
    <row r="9" spans="1:11" thickTop="1" thickBot="1" x14ac:dyDescent="0.6">
      <c r="A9" s="26">
        <v>8</v>
      </c>
      <c r="D9" s="25" t="s">
        <v>1634</v>
      </c>
      <c r="I9" s="7"/>
    </row>
    <row r="10" spans="1:11" thickTop="1" thickBot="1" x14ac:dyDescent="0.6">
      <c r="A10" s="26">
        <v>9</v>
      </c>
      <c r="D10" s="25" t="s">
        <v>1634</v>
      </c>
      <c r="I10" s="6" t="s">
        <v>1644</v>
      </c>
    </row>
    <row r="11" spans="1:11" thickTop="1" thickBot="1" x14ac:dyDescent="0.6">
      <c r="A11" s="26">
        <v>10</v>
      </c>
      <c r="B11" s="43">
        <v>1151567</v>
      </c>
      <c r="C11" s="6" t="s">
        <v>3315</v>
      </c>
      <c r="D11" s="25" t="s">
        <v>1634</v>
      </c>
      <c r="E11" s="111">
        <v>772423006</v>
      </c>
      <c r="F11" s="4">
        <v>606064</v>
      </c>
      <c r="G11" s="26">
        <v>1</v>
      </c>
      <c r="H11" s="7">
        <v>45878</v>
      </c>
    </row>
    <row r="12" spans="1:11" thickTop="1" thickBot="1" x14ac:dyDescent="0.6">
      <c r="A12" s="26">
        <v>11</v>
      </c>
      <c r="B12" s="43">
        <v>1151172</v>
      </c>
      <c r="C12" s="6" t="s">
        <v>1645</v>
      </c>
      <c r="D12" s="25" t="s">
        <v>1634</v>
      </c>
      <c r="E12" s="111">
        <v>767599819</v>
      </c>
      <c r="F12" s="4">
        <v>389463</v>
      </c>
      <c r="G12" s="26">
        <v>1</v>
      </c>
      <c r="H12" s="7">
        <v>45606</v>
      </c>
      <c r="J12" s="4" t="s">
        <v>1646</v>
      </c>
    </row>
    <row r="13" spans="1:11" thickTop="1" thickBot="1" x14ac:dyDescent="0.6">
      <c r="A13" s="26">
        <v>12</v>
      </c>
      <c r="B13" s="43">
        <v>1151157</v>
      </c>
      <c r="C13" s="6" t="s">
        <v>1647</v>
      </c>
      <c r="D13" s="25" t="s">
        <v>1634</v>
      </c>
      <c r="E13" s="111">
        <v>775000703</v>
      </c>
      <c r="F13" s="4">
        <v>185978</v>
      </c>
      <c r="G13" s="26">
        <v>1</v>
      </c>
      <c r="H13" s="7">
        <v>45605</v>
      </c>
    </row>
    <row r="14" spans="1:11" thickTop="1" thickBot="1" x14ac:dyDescent="0.6">
      <c r="A14" s="26">
        <v>13</v>
      </c>
      <c r="B14" s="43">
        <v>1151348</v>
      </c>
      <c r="C14" s="6" t="s">
        <v>3013</v>
      </c>
      <c r="D14" s="25" t="s">
        <v>1634</v>
      </c>
      <c r="E14" s="111" t="s">
        <v>3014</v>
      </c>
      <c r="F14" s="4">
        <v>417314</v>
      </c>
      <c r="G14" s="26">
        <v>1</v>
      </c>
      <c r="H14" s="7">
        <v>45684</v>
      </c>
      <c r="J14" s="4" t="s">
        <v>3015</v>
      </c>
    </row>
    <row r="15" spans="1:11" thickTop="1" thickBot="1" x14ac:dyDescent="0.6">
      <c r="A15" s="26">
        <v>14</v>
      </c>
      <c r="B15" s="43">
        <v>1151155</v>
      </c>
      <c r="C15" s="6" t="s">
        <v>1649</v>
      </c>
      <c r="D15" s="25" t="s">
        <v>1634</v>
      </c>
      <c r="E15" s="111">
        <v>770848659</v>
      </c>
      <c r="F15" s="4">
        <v>298144</v>
      </c>
      <c r="G15" s="26">
        <v>1</v>
      </c>
      <c r="H15" s="7">
        <v>45605</v>
      </c>
    </row>
    <row r="16" spans="1:11" thickTop="1" thickBot="1" x14ac:dyDescent="0.6">
      <c r="A16" s="26">
        <v>15</v>
      </c>
      <c r="B16" s="43">
        <v>1151156</v>
      </c>
      <c r="C16" s="6" t="s">
        <v>3016</v>
      </c>
      <c r="D16" s="25" t="s">
        <v>1634</v>
      </c>
      <c r="E16" s="111" t="s">
        <v>1650</v>
      </c>
      <c r="F16" s="4">
        <v>231178</v>
      </c>
      <c r="G16" s="26">
        <v>1</v>
      </c>
      <c r="H16" s="7">
        <v>45605</v>
      </c>
    </row>
    <row r="17" spans="1:10" thickTop="1" thickBot="1" x14ac:dyDescent="0.6">
      <c r="A17" s="26">
        <v>16</v>
      </c>
      <c r="D17" s="25" t="s">
        <v>1634</v>
      </c>
    </row>
    <row r="18" spans="1:10" thickTop="1" thickBot="1" x14ac:dyDescent="0.6">
      <c r="A18" s="26">
        <v>17</v>
      </c>
      <c r="B18" s="43">
        <v>1151158</v>
      </c>
      <c r="C18" s="6" t="s">
        <v>1651</v>
      </c>
      <c r="D18" s="25" t="s">
        <v>1634</v>
      </c>
      <c r="E18" s="111">
        <v>772423006</v>
      </c>
      <c r="F18" s="4">
        <v>426349</v>
      </c>
      <c r="G18" s="26">
        <v>1</v>
      </c>
      <c r="H18" s="7">
        <v>45605</v>
      </c>
    </row>
    <row r="19" spans="1:10" thickTop="1" thickBot="1" x14ac:dyDescent="0.6">
      <c r="A19" s="26">
        <v>18</v>
      </c>
      <c r="B19" s="43">
        <v>1151150</v>
      </c>
      <c r="C19" s="6" t="s">
        <v>1652</v>
      </c>
      <c r="D19" s="25" t="s">
        <v>1634</v>
      </c>
      <c r="E19" s="111">
        <v>761177441</v>
      </c>
      <c r="F19" s="4">
        <v>277452</v>
      </c>
      <c r="G19" s="26">
        <v>1</v>
      </c>
      <c r="H19" s="7">
        <v>45606</v>
      </c>
    </row>
    <row r="20" spans="1:10" thickTop="1" thickBot="1" x14ac:dyDescent="0.6">
      <c r="A20" s="26">
        <v>19</v>
      </c>
      <c r="D20" s="25" t="s">
        <v>1634</v>
      </c>
    </row>
    <row r="21" spans="1:10" thickTop="1" thickBot="1" x14ac:dyDescent="0.6">
      <c r="A21" s="26">
        <v>20</v>
      </c>
      <c r="D21" s="25" t="s">
        <v>1634</v>
      </c>
    </row>
    <row r="22" spans="1:10" thickTop="1" thickBot="1" x14ac:dyDescent="0.6">
      <c r="A22" s="26">
        <v>21</v>
      </c>
      <c r="D22" s="25" t="s">
        <v>1634</v>
      </c>
    </row>
    <row r="23" spans="1:10" thickTop="1" thickBot="1" x14ac:dyDescent="0.6">
      <c r="A23" s="26">
        <v>22</v>
      </c>
      <c r="D23" s="25" t="s">
        <v>1634</v>
      </c>
    </row>
    <row r="24" spans="1:10" thickTop="1" thickBot="1" x14ac:dyDescent="0.6">
      <c r="A24" s="26">
        <v>23</v>
      </c>
      <c r="B24" s="43">
        <v>1151104</v>
      </c>
      <c r="C24" s="6" t="s">
        <v>1653</v>
      </c>
      <c r="D24" s="25" t="s">
        <v>1634</v>
      </c>
      <c r="E24" s="111" t="s">
        <v>1654</v>
      </c>
      <c r="F24" s="4">
        <v>455314</v>
      </c>
      <c r="G24" s="26">
        <v>1</v>
      </c>
      <c r="H24" s="7">
        <v>45603</v>
      </c>
      <c r="J24" s="4" t="s">
        <v>1655</v>
      </c>
    </row>
    <row r="25" spans="1:10" thickTop="1" thickBot="1" x14ac:dyDescent="0.6">
      <c r="A25" s="26">
        <v>24</v>
      </c>
      <c r="B25" s="43">
        <v>1151149</v>
      </c>
      <c r="C25" s="6" t="s">
        <v>1656</v>
      </c>
      <c r="D25" s="25" t="s">
        <v>1634</v>
      </c>
      <c r="E25" s="111">
        <v>768687329</v>
      </c>
      <c r="F25" s="4">
        <v>194939</v>
      </c>
      <c r="G25" s="26">
        <v>1</v>
      </c>
      <c r="H25" s="7">
        <v>45605</v>
      </c>
      <c r="J25" s="4">
        <v>198627010034</v>
      </c>
    </row>
    <row r="26" spans="1:10" thickTop="1" thickBot="1" x14ac:dyDescent="0.6">
      <c r="A26" s="26">
        <v>1</v>
      </c>
      <c r="B26" s="43">
        <v>1150332</v>
      </c>
      <c r="C26" s="6" t="s">
        <v>1657</v>
      </c>
      <c r="D26" s="25" t="s">
        <v>1658</v>
      </c>
      <c r="E26" s="111">
        <v>777519204</v>
      </c>
      <c r="F26" s="4">
        <v>278718</v>
      </c>
      <c r="G26" s="26">
        <v>1</v>
      </c>
      <c r="J26" s="5"/>
    </row>
    <row r="27" spans="1:10" thickTop="1" thickBot="1" x14ac:dyDescent="0.6">
      <c r="A27" s="26">
        <v>2</v>
      </c>
      <c r="B27" s="43">
        <v>1150854</v>
      </c>
      <c r="C27" s="6" t="s">
        <v>1659</v>
      </c>
      <c r="D27" s="25" t="s">
        <v>1658</v>
      </c>
      <c r="F27" s="4">
        <v>123953</v>
      </c>
      <c r="G27" s="26">
        <v>1</v>
      </c>
      <c r="H27" s="7">
        <v>45565</v>
      </c>
    </row>
    <row r="28" spans="1:10" thickTop="1" thickBot="1" x14ac:dyDescent="0.6">
      <c r="A28" s="26">
        <v>3</v>
      </c>
      <c r="D28" s="25" t="s">
        <v>1658</v>
      </c>
    </row>
    <row r="29" spans="1:10" thickTop="1" thickBot="1" x14ac:dyDescent="0.6">
      <c r="A29" s="26">
        <v>4</v>
      </c>
      <c r="B29" s="43">
        <v>1150287</v>
      </c>
      <c r="C29" s="6" t="s">
        <v>1660</v>
      </c>
      <c r="D29" s="25" t="s">
        <v>1658</v>
      </c>
      <c r="E29" s="111" t="s">
        <v>1661</v>
      </c>
      <c r="F29" s="4">
        <v>690715</v>
      </c>
      <c r="G29" s="26">
        <v>1</v>
      </c>
      <c r="J29" s="5" t="s">
        <v>1662</v>
      </c>
    </row>
    <row r="30" spans="1:10" thickTop="1" thickBot="1" x14ac:dyDescent="0.6">
      <c r="A30" s="26">
        <v>5</v>
      </c>
      <c r="D30" s="25" t="s">
        <v>1658</v>
      </c>
    </row>
    <row r="31" spans="1:10" thickTop="1" thickBot="1" x14ac:dyDescent="0.6">
      <c r="A31" s="26">
        <v>6</v>
      </c>
      <c r="B31" s="43">
        <v>1150632</v>
      </c>
      <c r="C31" s="6" t="s">
        <v>1663</v>
      </c>
      <c r="D31" s="25" t="s">
        <v>1658</v>
      </c>
      <c r="E31" s="111" t="s">
        <v>1664</v>
      </c>
      <c r="F31" s="4" t="str">
        <f>"0"&amp;54067</f>
        <v>054067</v>
      </c>
      <c r="G31" s="26">
        <v>1</v>
      </c>
      <c r="H31" s="7">
        <v>45323</v>
      </c>
      <c r="J31" s="4" t="s">
        <v>1665</v>
      </c>
    </row>
    <row r="32" spans="1:10" thickTop="1" thickBot="1" x14ac:dyDescent="0.6">
      <c r="A32" s="26">
        <v>7</v>
      </c>
      <c r="D32" s="25" t="s">
        <v>1658</v>
      </c>
    </row>
    <row r="33" spans="1:10" thickTop="1" thickBot="1" x14ac:dyDescent="0.6">
      <c r="A33" s="26">
        <v>8</v>
      </c>
      <c r="B33" s="43">
        <v>1150920</v>
      </c>
      <c r="C33" s="6" t="s">
        <v>1666</v>
      </c>
      <c r="D33" s="25" t="s">
        <v>1658</v>
      </c>
      <c r="E33" s="111">
        <v>779953183</v>
      </c>
      <c r="F33" s="4" t="str">
        <f>"0"&amp;80062</f>
        <v>080062</v>
      </c>
      <c r="G33" s="26">
        <v>1</v>
      </c>
      <c r="H33" s="7">
        <v>45577</v>
      </c>
      <c r="J33" s="4">
        <v>198617802875</v>
      </c>
    </row>
    <row r="34" spans="1:10" thickTop="1" thickBot="1" x14ac:dyDescent="0.6">
      <c r="A34" s="26">
        <v>9</v>
      </c>
      <c r="D34" s="25" t="s">
        <v>1658</v>
      </c>
    </row>
    <row r="35" spans="1:10" thickTop="1" thickBot="1" x14ac:dyDescent="0.6">
      <c r="A35" s="26">
        <v>10</v>
      </c>
      <c r="D35" s="25" t="s">
        <v>1658</v>
      </c>
    </row>
    <row r="36" spans="1:10" thickTop="1" thickBot="1" x14ac:dyDescent="0.6">
      <c r="A36" s="26">
        <v>11</v>
      </c>
      <c r="B36" s="43">
        <v>1150348</v>
      </c>
      <c r="C36" s="6" t="s">
        <v>1667</v>
      </c>
      <c r="D36" s="25" t="s">
        <v>1658</v>
      </c>
      <c r="E36" s="111">
        <v>721417752</v>
      </c>
      <c r="F36" s="4">
        <v>580659</v>
      </c>
      <c r="G36" s="26">
        <v>1</v>
      </c>
      <c r="I36" s="7">
        <v>44730</v>
      </c>
      <c r="J36" s="5" t="s">
        <v>1668</v>
      </c>
    </row>
    <row r="37" spans="1:10" thickTop="1" thickBot="1" x14ac:dyDescent="0.6">
      <c r="A37" s="26">
        <v>12</v>
      </c>
      <c r="D37" s="25" t="s">
        <v>1658</v>
      </c>
    </row>
    <row r="38" spans="1:10" thickTop="1" thickBot="1" x14ac:dyDescent="0.6">
      <c r="A38" s="26">
        <v>13</v>
      </c>
      <c r="B38" s="43">
        <v>1150433</v>
      </c>
      <c r="C38" s="6" t="s">
        <v>1669</v>
      </c>
      <c r="D38" s="25" t="s">
        <v>1658</v>
      </c>
      <c r="E38" s="111">
        <v>742778960</v>
      </c>
      <c r="F38" s="4">
        <v>128051</v>
      </c>
      <c r="G38" s="26">
        <v>1</v>
      </c>
      <c r="H38" s="7">
        <v>44984</v>
      </c>
      <c r="I38" s="7">
        <v>44984</v>
      </c>
      <c r="J38" s="5">
        <v>198419502073</v>
      </c>
    </row>
    <row r="39" spans="1:10" thickTop="1" thickBot="1" x14ac:dyDescent="0.6">
      <c r="A39" s="26">
        <v>14</v>
      </c>
      <c r="B39" s="43">
        <v>1150308</v>
      </c>
      <c r="C39" s="6" t="s">
        <v>3125</v>
      </c>
      <c r="D39" s="25" t="s">
        <v>1658</v>
      </c>
      <c r="E39" s="111">
        <v>769039144</v>
      </c>
      <c r="F39" s="4">
        <v>590987</v>
      </c>
      <c r="G39" s="26">
        <v>1</v>
      </c>
      <c r="H39" s="7">
        <v>45814</v>
      </c>
      <c r="J39" s="4" t="s">
        <v>3126</v>
      </c>
    </row>
    <row r="40" spans="1:10" thickTop="1" thickBot="1" x14ac:dyDescent="0.6">
      <c r="A40" s="26">
        <v>15</v>
      </c>
      <c r="B40" s="43">
        <v>1150701</v>
      </c>
      <c r="C40" s="6" t="s">
        <v>1670</v>
      </c>
      <c r="D40" s="25" t="s">
        <v>1658</v>
      </c>
      <c r="F40" s="4" t="str">
        <f>"0"&amp;90038</f>
        <v>090038</v>
      </c>
      <c r="G40" s="26">
        <v>1</v>
      </c>
      <c r="H40" s="7">
        <v>45466</v>
      </c>
      <c r="J40" s="4" t="s">
        <v>1671</v>
      </c>
    </row>
    <row r="41" spans="1:10" thickTop="1" thickBot="1" x14ac:dyDescent="0.6">
      <c r="A41" s="26">
        <v>16</v>
      </c>
      <c r="D41" s="25" t="s">
        <v>1658</v>
      </c>
    </row>
    <row r="42" spans="1:10" thickTop="1" thickBot="1" x14ac:dyDescent="0.6">
      <c r="A42" s="26">
        <v>17</v>
      </c>
      <c r="B42" s="43">
        <v>1150234</v>
      </c>
      <c r="C42" s="6" t="s">
        <v>1672</v>
      </c>
      <c r="D42" s="25" t="s">
        <v>1658</v>
      </c>
      <c r="E42" s="111" t="s">
        <v>1673</v>
      </c>
      <c r="F42" s="4">
        <v>309984</v>
      </c>
      <c r="G42" s="26">
        <v>1</v>
      </c>
      <c r="J42" s="5" t="s">
        <v>1674</v>
      </c>
    </row>
    <row r="43" spans="1:10" thickTop="1" thickBot="1" x14ac:dyDescent="0.6">
      <c r="A43" s="26">
        <v>18</v>
      </c>
      <c r="B43" s="43">
        <v>1150829</v>
      </c>
      <c r="C43" s="6" t="s">
        <v>1675</v>
      </c>
      <c r="D43" s="25" t="s">
        <v>1658</v>
      </c>
      <c r="E43" s="111">
        <v>771765772</v>
      </c>
      <c r="F43" s="4">
        <v>111800</v>
      </c>
      <c r="G43" s="26">
        <v>1</v>
      </c>
      <c r="H43" s="7">
        <v>45544</v>
      </c>
      <c r="J43" s="4" t="s">
        <v>1676</v>
      </c>
    </row>
    <row r="44" spans="1:10" thickTop="1" thickBot="1" x14ac:dyDescent="0.6">
      <c r="A44" s="26">
        <v>19</v>
      </c>
      <c r="D44" s="25" t="s">
        <v>1658</v>
      </c>
    </row>
    <row r="45" spans="1:10" thickTop="1" thickBot="1" x14ac:dyDescent="0.6">
      <c r="A45" s="26">
        <v>20</v>
      </c>
      <c r="B45" s="43">
        <v>1151285</v>
      </c>
      <c r="C45" s="6" t="s">
        <v>1677</v>
      </c>
      <c r="D45" s="25" t="s">
        <v>1658</v>
      </c>
      <c r="E45" s="111" t="s">
        <v>1678</v>
      </c>
      <c r="F45" s="4">
        <v>374135</v>
      </c>
      <c r="G45" s="26">
        <v>1</v>
      </c>
      <c r="H45" s="7">
        <v>45611</v>
      </c>
      <c r="J45" s="5">
        <v>198831702108</v>
      </c>
    </row>
    <row r="46" spans="1:10" thickTop="1" thickBot="1" x14ac:dyDescent="0.6">
      <c r="A46" s="26">
        <v>21</v>
      </c>
      <c r="B46" s="43">
        <v>1150398</v>
      </c>
      <c r="C46" s="6" t="s">
        <v>1679</v>
      </c>
      <c r="D46" s="25" t="s">
        <v>1658</v>
      </c>
      <c r="E46" s="111">
        <v>767553679</v>
      </c>
      <c r="F46" s="4">
        <v>634697</v>
      </c>
      <c r="G46" s="26">
        <v>1</v>
      </c>
      <c r="I46" s="7">
        <v>44924</v>
      </c>
      <c r="J46" s="5" t="s">
        <v>1680</v>
      </c>
    </row>
    <row r="47" spans="1:10" thickTop="1" thickBot="1" x14ac:dyDescent="0.6">
      <c r="A47" s="26">
        <v>22</v>
      </c>
      <c r="B47" s="43">
        <v>1151511</v>
      </c>
      <c r="C47" s="6" t="s">
        <v>3086</v>
      </c>
      <c r="D47" s="25" t="s">
        <v>1658</v>
      </c>
      <c r="E47" s="111">
        <v>755969488</v>
      </c>
      <c r="F47" s="4">
        <v>755194</v>
      </c>
      <c r="G47" s="26">
        <v>1</v>
      </c>
      <c r="H47" s="7">
        <v>45794</v>
      </c>
      <c r="J47" s="4" t="s">
        <v>3087</v>
      </c>
    </row>
    <row r="48" spans="1:10" thickTop="1" thickBot="1" x14ac:dyDescent="0.6">
      <c r="A48" s="26">
        <v>23</v>
      </c>
      <c r="B48" s="43">
        <v>1151145</v>
      </c>
      <c r="C48" s="6" t="s">
        <v>1681</v>
      </c>
      <c r="D48" s="25" t="s">
        <v>1658</v>
      </c>
      <c r="E48" s="111">
        <v>514906396</v>
      </c>
      <c r="F48" s="4">
        <v>152184</v>
      </c>
      <c r="G48" s="26">
        <v>1</v>
      </c>
      <c r="H48" s="7">
        <v>45605</v>
      </c>
    </row>
    <row r="49" spans="1:10" thickTop="1" thickBot="1" x14ac:dyDescent="0.6">
      <c r="A49" s="26">
        <v>24</v>
      </c>
      <c r="B49" s="43">
        <v>1151144</v>
      </c>
      <c r="C49" s="6" t="s">
        <v>1682</v>
      </c>
      <c r="D49" s="25" t="s">
        <v>1658</v>
      </c>
      <c r="E49" s="111">
        <v>771054577</v>
      </c>
      <c r="F49" s="4">
        <v>100597</v>
      </c>
      <c r="G49" s="26">
        <v>1</v>
      </c>
      <c r="H49" s="7">
        <v>45605</v>
      </c>
      <c r="J49" s="4">
        <v>746512120</v>
      </c>
    </row>
    <row r="50" spans="1:10" thickTop="1" thickBot="1" x14ac:dyDescent="0.6">
      <c r="A50" s="26">
        <v>25</v>
      </c>
      <c r="B50" s="43">
        <v>1150874</v>
      </c>
      <c r="C50" s="6" t="s">
        <v>1683</v>
      </c>
      <c r="D50" s="25" t="s">
        <v>1658</v>
      </c>
      <c r="E50" s="111">
        <v>776345744</v>
      </c>
      <c r="F50" s="4">
        <v>157605</v>
      </c>
      <c r="G50" s="26">
        <v>1</v>
      </c>
      <c r="H50" s="7">
        <v>45571</v>
      </c>
    </row>
    <row r="51" spans="1:10" thickTop="1" thickBot="1" x14ac:dyDescent="0.6">
      <c r="A51" s="26">
        <v>26</v>
      </c>
      <c r="B51" s="43">
        <v>1151522</v>
      </c>
      <c r="C51" s="6" t="s">
        <v>3119</v>
      </c>
      <c r="D51" s="25" t="s">
        <v>1658</v>
      </c>
      <c r="E51" s="111">
        <v>763111425</v>
      </c>
      <c r="F51" s="4">
        <v>552615</v>
      </c>
      <c r="G51" s="26">
        <v>1</v>
      </c>
      <c r="H51" s="7">
        <v>45811</v>
      </c>
    </row>
    <row r="52" spans="1:10" thickTop="1" thickBot="1" x14ac:dyDescent="0.6">
      <c r="A52" s="26">
        <v>27</v>
      </c>
      <c r="D52" s="25" t="s">
        <v>1658</v>
      </c>
    </row>
    <row r="53" spans="1:10" thickTop="1" thickBot="1" x14ac:dyDescent="0.6">
      <c r="A53" s="26">
        <v>28</v>
      </c>
      <c r="B53" s="43">
        <v>1151301</v>
      </c>
      <c r="C53" s="6" t="s">
        <v>1684</v>
      </c>
      <c r="D53" s="25" t="s">
        <v>1658</v>
      </c>
      <c r="E53" s="111">
        <v>723133493</v>
      </c>
      <c r="F53" s="4">
        <v>15480</v>
      </c>
      <c r="G53" s="26">
        <v>1</v>
      </c>
      <c r="H53" s="7">
        <v>45618</v>
      </c>
    </row>
    <row r="54" spans="1:10" thickTop="1" thickBot="1" x14ac:dyDescent="0.6">
      <c r="A54" s="26">
        <v>29</v>
      </c>
      <c r="B54" s="43">
        <v>1151584</v>
      </c>
      <c r="C54" s="6" t="s">
        <v>3372</v>
      </c>
      <c r="D54" s="25" t="s">
        <v>1658</v>
      </c>
      <c r="E54" s="111">
        <v>771503954</v>
      </c>
      <c r="F54" s="4">
        <v>754914</v>
      </c>
      <c r="G54" s="26">
        <v>1</v>
      </c>
      <c r="H54" s="7">
        <v>45916</v>
      </c>
    </row>
    <row r="55" spans="1:10" thickTop="1" thickBot="1" x14ac:dyDescent="0.6">
      <c r="A55" s="26">
        <v>30</v>
      </c>
      <c r="D55" s="25" t="s">
        <v>1658</v>
      </c>
    </row>
    <row r="56" spans="1:10" thickTop="1" thickBot="1" x14ac:dyDescent="0.6">
      <c r="A56" s="26">
        <v>31</v>
      </c>
      <c r="D56" s="25" t="s">
        <v>1658</v>
      </c>
    </row>
    <row r="57" spans="1:10" thickTop="1" thickBot="1" x14ac:dyDescent="0.6">
      <c r="A57" s="26">
        <v>32</v>
      </c>
      <c r="D57" s="25" t="s">
        <v>1658</v>
      </c>
    </row>
    <row r="58" spans="1:10" thickTop="1" thickBot="1" x14ac:dyDescent="0.6">
      <c r="A58" s="26">
        <v>33</v>
      </c>
      <c r="B58" s="43">
        <v>1150924</v>
      </c>
      <c r="C58" s="6" t="s">
        <v>1685</v>
      </c>
      <c r="D58" s="25" t="s">
        <v>1658</v>
      </c>
      <c r="E58" s="111">
        <v>767932495</v>
      </c>
      <c r="F58" s="4" t="s">
        <v>1686</v>
      </c>
      <c r="G58" s="26">
        <v>2</v>
      </c>
      <c r="H58" s="7">
        <v>45578</v>
      </c>
      <c r="J58" s="4">
        <v>199303202962</v>
      </c>
    </row>
    <row r="59" spans="1:10" thickTop="1" thickBot="1" x14ac:dyDescent="0.6">
      <c r="A59" s="26">
        <v>34</v>
      </c>
      <c r="B59" s="43">
        <v>1150643</v>
      </c>
      <c r="C59" s="6" t="s">
        <v>1687</v>
      </c>
      <c r="D59" s="25" t="s">
        <v>1658</v>
      </c>
      <c r="E59" s="111">
        <v>515710196</v>
      </c>
      <c r="F59" s="4">
        <v>708277</v>
      </c>
      <c r="G59" s="26">
        <v>1</v>
      </c>
      <c r="H59" s="7">
        <v>45486</v>
      </c>
    </row>
    <row r="60" spans="1:10" thickTop="1" thickBot="1" x14ac:dyDescent="0.6">
      <c r="A60" s="26">
        <v>35</v>
      </c>
      <c r="B60" s="43">
        <v>1150653</v>
      </c>
      <c r="C60" s="6" t="s">
        <v>1688</v>
      </c>
      <c r="D60" s="25" t="s">
        <v>1658</v>
      </c>
      <c r="F60" s="4">
        <v>145329</v>
      </c>
      <c r="G60" s="26">
        <v>1</v>
      </c>
      <c r="H60" s="7">
        <v>45370</v>
      </c>
      <c r="J60" s="4" t="s">
        <v>1689</v>
      </c>
    </row>
    <row r="61" spans="1:10" thickTop="1" thickBot="1" x14ac:dyDescent="0.6">
      <c r="A61" s="26">
        <v>36</v>
      </c>
      <c r="B61" s="43">
        <v>1150440</v>
      </c>
      <c r="C61" s="6" t="s">
        <v>1690</v>
      </c>
      <c r="D61" s="25" t="s">
        <v>1658</v>
      </c>
      <c r="E61" s="111" t="s">
        <v>1691</v>
      </c>
      <c r="F61" s="4">
        <v>153745</v>
      </c>
      <c r="G61" s="26">
        <v>1</v>
      </c>
      <c r="I61" s="7">
        <v>44993</v>
      </c>
      <c r="J61" s="5"/>
    </row>
    <row r="62" spans="1:10" thickTop="1" thickBot="1" x14ac:dyDescent="0.6">
      <c r="A62" s="26">
        <v>37</v>
      </c>
      <c r="B62" s="43">
        <v>1151607</v>
      </c>
      <c r="C62" s="6" t="s">
        <v>3443</v>
      </c>
      <c r="D62" s="25" t="s">
        <v>1658</v>
      </c>
      <c r="E62" s="111">
        <v>764973522</v>
      </c>
      <c r="F62" s="4">
        <v>734528</v>
      </c>
      <c r="G62" s="26">
        <v>1</v>
      </c>
      <c r="H62" s="7">
        <v>45970</v>
      </c>
      <c r="J62" s="4">
        <v>196625901001</v>
      </c>
    </row>
    <row r="63" spans="1:10" thickTop="1" thickBot="1" x14ac:dyDescent="0.6">
      <c r="A63" s="26">
        <v>38</v>
      </c>
      <c r="D63" s="25" t="s">
        <v>1658</v>
      </c>
    </row>
    <row r="64" spans="1:10" thickTop="1" thickBot="1" x14ac:dyDescent="0.6">
      <c r="A64" s="26">
        <v>39</v>
      </c>
      <c r="B64" s="43">
        <v>1151110</v>
      </c>
      <c r="C64" s="6" t="s">
        <v>1692</v>
      </c>
      <c r="D64" s="25" t="s">
        <v>1658</v>
      </c>
      <c r="E64" s="111">
        <v>741163690</v>
      </c>
      <c r="F64" s="4">
        <v>108574</v>
      </c>
      <c r="G64" s="26">
        <v>1</v>
      </c>
      <c r="H64" s="7">
        <v>45604</v>
      </c>
      <c r="J64" s="4">
        <v>195431210149</v>
      </c>
    </row>
    <row r="65" spans="1:10" thickTop="1" thickBot="1" x14ac:dyDescent="0.6">
      <c r="A65" s="26">
        <v>40</v>
      </c>
      <c r="B65" s="43">
        <v>1150741</v>
      </c>
      <c r="C65" s="6" t="s">
        <v>1693</v>
      </c>
      <c r="D65" s="25" t="s">
        <v>1658</v>
      </c>
      <c r="F65" s="4">
        <v>123169</v>
      </c>
      <c r="G65" s="26">
        <v>1</v>
      </c>
      <c r="H65" s="7">
        <v>45492</v>
      </c>
      <c r="J65" s="4">
        <v>197921401587</v>
      </c>
    </row>
    <row r="66" spans="1:10" thickTop="1" thickBot="1" x14ac:dyDescent="0.6">
      <c r="A66" s="26">
        <v>41</v>
      </c>
      <c r="D66" s="25" t="s">
        <v>1658</v>
      </c>
    </row>
    <row r="67" spans="1:10" thickTop="1" thickBot="1" x14ac:dyDescent="0.6">
      <c r="A67" s="26">
        <v>42</v>
      </c>
      <c r="B67" s="43">
        <v>1150288</v>
      </c>
      <c r="C67" s="6" t="s">
        <v>1694</v>
      </c>
      <c r="D67" s="25" t="s">
        <v>1658</v>
      </c>
      <c r="F67" s="4">
        <v>714606</v>
      </c>
      <c r="G67" s="26">
        <v>1</v>
      </c>
      <c r="J67" s="5" t="s">
        <v>1695</v>
      </c>
    </row>
    <row r="68" spans="1:10" thickTop="1" thickBot="1" x14ac:dyDescent="0.6">
      <c r="A68" s="26">
        <v>43</v>
      </c>
      <c r="B68" s="43">
        <v>1150728</v>
      </c>
      <c r="C68" s="6" t="s">
        <v>1696</v>
      </c>
      <c r="D68" s="25" t="s">
        <v>1658</v>
      </c>
      <c r="E68" s="111">
        <v>778123532</v>
      </c>
      <c r="F68" s="4" t="str">
        <f>"0"&amp;61211</f>
        <v>061211</v>
      </c>
      <c r="G68" s="26">
        <v>1</v>
      </c>
      <c r="H68" s="7">
        <v>45486</v>
      </c>
      <c r="J68" s="4">
        <v>1971136203369</v>
      </c>
    </row>
    <row r="69" spans="1:10" thickTop="1" thickBot="1" x14ac:dyDescent="0.6">
      <c r="A69" s="26">
        <v>44</v>
      </c>
      <c r="D69" s="25" t="s">
        <v>1658</v>
      </c>
    </row>
    <row r="70" spans="1:10" thickTop="1" thickBot="1" x14ac:dyDescent="0.6">
      <c r="A70" s="26">
        <v>45</v>
      </c>
      <c r="B70" s="43">
        <v>1150765</v>
      </c>
      <c r="C70" s="6" t="s">
        <v>1697</v>
      </c>
      <c r="D70" s="25" t="s">
        <v>1658</v>
      </c>
      <c r="E70" s="111">
        <v>767550553</v>
      </c>
      <c r="F70" s="4">
        <v>136336</v>
      </c>
      <c r="G70" s="26">
        <v>1</v>
      </c>
      <c r="H70" s="7">
        <v>45518</v>
      </c>
      <c r="J70" s="4" t="s">
        <v>1698</v>
      </c>
    </row>
    <row r="71" spans="1:10" thickTop="1" thickBot="1" x14ac:dyDescent="0.6">
      <c r="A71" s="26">
        <v>46</v>
      </c>
      <c r="B71" s="43">
        <v>1151480</v>
      </c>
      <c r="C71" s="6" t="s">
        <v>2983</v>
      </c>
      <c r="D71" s="25" t="s">
        <v>1658</v>
      </c>
      <c r="E71" s="111">
        <v>773189022</v>
      </c>
      <c r="F71" s="4">
        <v>630361</v>
      </c>
      <c r="G71" s="26">
        <v>1</v>
      </c>
      <c r="H71" s="7">
        <v>45763</v>
      </c>
      <c r="J71" s="4" t="s">
        <v>2984</v>
      </c>
    </row>
    <row r="72" spans="1:10" thickTop="1" thickBot="1" x14ac:dyDescent="0.6">
      <c r="A72" s="26">
        <v>47</v>
      </c>
      <c r="B72" s="43">
        <v>1150474</v>
      </c>
      <c r="C72" s="6" t="s">
        <v>1699</v>
      </c>
      <c r="D72" s="25" t="s">
        <v>1658</v>
      </c>
      <c r="E72" s="111">
        <v>778594980</v>
      </c>
      <c r="F72" s="4">
        <v>119134</v>
      </c>
      <c r="G72" s="26">
        <v>1</v>
      </c>
      <c r="H72" s="7">
        <v>45093</v>
      </c>
      <c r="I72" s="7">
        <v>45093</v>
      </c>
    </row>
    <row r="73" spans="1:10" thickTop="1" thickBot="1" x14ac:dyDescent="0.6">
      <c r="A73" s="26">
        <v>48</v>
      </c>
      <c r="B73" s="43">
        <v>1151523</v>
      </c>
      <c r="C73" s="6" t="s">
        <v>3120</v>
      </c>
      <c r="D73" s="25" t="s">
        <v>1658</v>
      </c>
      <c r="F73" s="4">
        <v>622004</v>
      </c>
      <c r="G73" s="26">
        <v>1</v>
      </c>
      <c r="H73" s="7">
        <v>45811</v>
      </c>
    </row>
    <row r="74" spans="1:10" thickTop="1" thickBot="1" x14ac:dyDescent="0.6">
      <c r="A74" s="26">
        <v>49</v>
      </c>
      <c r="B74" s="43">
        <v>1150713</v>
      </c>
      <c r="C74" s="6" t="s">
        <v>1700</v>
      </c>
      <c r="D74" s="25" t="s">
        <v>1658</v>
      </c>
      <c r="E74" s="111" t="s">
        <v>1701</v>
      </c>
      <c r="F74" s="4">
        <v>124035</v>
      </c>
      <c r="G74" s="26">
        <v>1</v>
      </c>
      <c r="H74" s="7">
        <v>45478</v>
      </c>
      <c r="J74" s="4" t="s">
        <v>1702</v>
      </c>
    </row>
    <row r="75" spans="1:10" thickTop="1" thickBot="1" x14ac:dyDescent="0.6">
      <c r="A75" s="26">
        <v>50</v>
      </c>
      <c r="D75" s="25" t="s">
        <v>1658</v>
      </c>
    </row>
    <row r="76" spans="1:10" thickTop="1" thickBot="1" x14ac:dyDescent="0.6">
      <c r="A76" s="26">
        <v>51</v>
      </c>
      <c r="B76" s="43">
        <v>1150578</v>
      </c>
      <c r="C76" s="6" t="s">
        <v>1703</v>
      </c>
      <c r="D76" s="25" t="s">
        <v>1658</v>
      </c>
      <c r="E76" s="111">
        <v>752095632</v>
      </c>
      <c r="F76" s="4">
        <v>144736</v>
      </c>
      <c r="G76" s="26">
        <v>1</v>
      </c>
      <c r="H76" s="7">
        <v>45290</v>
      </c>
      <c r="J76" s="4">
        <v>200208601024</v>
      </c>
    </row>
    <row r="77" spans="1:10" thickTop="1" thickBot="1" x14ac:dyDescent="0.6">
      <c r="A77" s="26">
        <v>52</v>
      </c>
      <c r="B77" s="43">
        <v>1150857</v>
      </c>
      <c r="C77" s="6" t="s">
        <v>1704</v>
      </c>
      <c r="D77" s="25" t="s">
        <v>1658</v>
      </c>
      <c r="F77" s="4">
        <v>239817</v>
      </c>
      <c r="G77" s="26">
        <v>1</v>
      </c>
      <c r="H77" s="7">
        <v>45567</v>
      </c>
    </row>
    <row r="78" spans="1:10" thickTop="1" thickBot="1" x14ac:dyDescent="0.6">
      <c r="A78" s="26">
        <v>53</v>
      </c>
      <c r="B78" s="43">
        <v>1150932</v>
      </c>
      <c r="C78" s="6" t="s">
        <v>1705</v>
      </c>
      <c r="D78" s="25" t="s">
        <v>1658</v>
      </c>
      <c r="F78" s="4">
        <v>278385</v>
      </c>
      <c r="G78" s="26">
        <v>1</v>
      </c>
      <c r="H78" s="7">
        <v>45580</v>
      </c>
    </row>
    <row r="79" spans="1:10" thickTop="1" thickBot="1" x14ac:dyDescent="0.6">
      <c r="A79" s="26">
        <v>54</v>
      </c>
      <c r="B79" s="43">
        <v>1150747</v>
      </c>
      <c r="C79" s="6" t="s">
        <v>1706</v>
      </c>
      <c r="D79" s="25" t="s">
        <v>1658</v>
      </c>
      <c r="F79" s="4" t="str">
        <f>"0"&amp;97769</f>
        <v>097769</v>
      </c>
      <c r="G79" s="26">
        <v>1</v>
      </c>
      <c r="H79" s="7">
        <v>45496</v>
      </c>
      <c r="J79" s="4" t="s">
        <v>1707</v>
      </c>
    </row>
    <row r="80" spans="1:10" thickTop="1" thickBot="1" x14ac:dyDescent="0.6">
      <c r="A80" s="26">
        <v>55</v>
      </c>
      <c r="B80" s="43">
        <v>1150536</v>
      </c>
      <c r="C80" s="6" t="s">
        <v>1708</v>
      </c>
      <c r="D80" s="25" t="s">
        <v>1658</v>
      </c>
      <c r="F80" s="4">
        <v>135932</v>
      </c>
      <c r="G80" s="26">
        <v>1</v>
      </c>
      <c r="I80" s="7">
        <v>45253</v>
      </c>
      <c r="J80" s="4" t="s">
        <v>1709</v>
      </c>
    </row>
    <row r="81" spans="1:10" thickTop="1" thickBot="1" x14ac:dyDescent="0.6">
      <c r="A81" s="26">
        <v>56</v>
      </c>
      <c r="B81" s="43">
        <v>1151230</v>
      </c>
      <c r="C81" s="6" t="s">
        <v>1710</v>
      </c>
      <c r="D81" s="25" t="s">
        <v>1658</v>
      </c>
      <c r="E81" s="111">
        <v>771775358</v>
      </c>
      <c r="F81" s="4">
        <v>298250</v>
      </c>
      <c r="G81" s="26">
        <v>1</v>
      </c>
      <c r="H81" s="7">
        <v>45609</v>
      </c>
    </row>
    <row r="82" spans="1:10" thickTop="1" thickBot="1" x14ac:dyDescent="0.6">
      <c r="A82" s="26">
        <v>57</v>
      </c>
      <c r="B82" s="43">
        <v>1151394</v>
      </c>
      <c r="C82" s="6" t="s">
        <v>2749</v>
      </c>
      <c r="D82" s="25" t="s">
        <v>1658</v>
      </c>
      <c r="F82" s="4">
        <v>657315</v>
      </c>
      <c r="G82" s="26">
        <v>1</v>
      </c>
      <c r="H82" s="7">
        <v>45707</v>
      </c>
      <c r="J82" s="45"/>
    </row>
    <row r="83" spans="1:10" thickTop="1" thickBot="1" x14ac:dyDescent="0.6">
      <c r="A83" s="26">
        <v>58</v>
      </c>
      <c r="D83" s="25" t="s">
        <v>1658</v>
      </c>
    </row>
    <row r="84" spans="1:10" thickTop="1" thickBot="1" x14ac:dyDescent="0.6">
      <c r="A84" s="26">
        <v>59</v>
      </c>
      <c r="D84" s="25" t="s">
        <v>1658</v>
      </c>
    </row>
    <row r="85" spans="1:10" thickTop="1" thickBot="1" x14ac:dyDescent="0.6">
      <c r="A85" s="26">
        <v>60</v>
      </c>
      <c r="D85" s="25" t="s">
        <v>1658</v>
      </c>
    </row>
    <row r="86" spans="1:10" thickTop="1" thickBot="1" x14ac:dyDescent="0.6">
      <c r="A86" s="26">
        <v>61</v>
      </c>
      <c r="B86" s="43">
        <v>1151141</v>
      </c>
      <c r="C86" s="6" t="s">
        <v>1711</v>
      </c>
      <c r="D86" s="25" t="s">
        <v>1658</v>
      </c>
      <c r="E86" s="111">
        <v>761509985</v>
      </c>
      <c r="F86" s="4">
        <v>201155</v>
      </c>
      <c r="G86" s="26">
        <v>1</v>
      </c>
      <c r="H86" s="7">
        <v>45605</v>
      </c>
      <c r="J86" s="4" t="s">
        <v>1712</v>
      </c>
    </row>
    <row r="87" spans="1:10" thickTop="1" thickBot="1" x14ac:dyDescent="0.6">
      <c r="A87" s="26">
        <v>62</v>
      </c>
      <c r="D87" s="25" t="s">
        <v>1658</v>
      </c>
    </row>
    <row r="88" spans="1:10" thickTop="1" thickBot="1" x14ac:dyDescent="0.6">
      <c r="A88" s="26">
        <v>63</v>
      </c>
      <c r="B88" s="43">
        <v>1150163</v>
      </c>
      <c r="C88" s="6" t="s">
        <v>1713</v>
      </c>
      <c r="D88" s="25" t="s">
        <v>1658</v>
      </c>
      <c r="E88" s="111">
        <v>712784325</v>
      </c>
      <c r="F88" s="4" t="s">
        <v>2731</v>
      </c>
      <c r="G88" s="26">
        <v>2</v>
      </c>
      <c r="H88" s="7">
        <v>45703</v>
      </c>
    </row>
    <row r="89" spans="1:10" thickTop="1" thickBot="1" x14ac:dyDescent="0.6">
      <c r="A89" s="26">
        <v>64</v>
      </c>
      <c r="B89" s="43">
        <v>1150091</v>
      </c>
      <c r="C89" s="6" t="s">
        <v>1714</v>
      </c>
      <c r="D89" s="25" t="s">
        <v>1658</v>
      </c>
      <c r="E89" s="111">
        <v>769196277</v>
      </c>
      <c r="F89" s="4">
        <v>730974</v>
      </c>
      <c r="G89" s="26">
        <v>1</v>
      </c>
      <c r="H89" s="7">
        <v>45725</v>
      </c>
      <c r="J89" s="5" t="s">
        <v>1715</v>
      </c>
    </row>
    <row r="90" spans="1:10" thickTop="1" thickBot="1" x14ac:dyDescent="0.6">
      <c r="A90" s="26">
        <v>65</v>
      </c>
      <c r="B90" s="43">
        <v>1151481</v>
      </c>
      <c r="C90" s="6" t="s">
        <v>2987</v>
      </c>
      <c r="D90" s="25" t="s">
        <v>1658</v>
      </c>
      <c r="F90" s="4">
        <v>673163</v>
      </c>
      <c r="G90" s="26">
        <v>1</v>
      </c>
      <c r="H90" s="7">
        <v>45765</v>
      </c>
      <c r="J90" s="4" t="s">
        <v>2988</v>
      </c>
    </row>
    <row r="91" spans="1:10" thickTop="1" thickBot="1" x14ac:dyDescent="0.6">
      <c r="A91" s="26">
        <v>66</v>
      </c>
      <c r="B91" s="43">
        <v>1150547</v>
      </c>
      <c r="C91" s="6" t="s">
        <v>1716</v>
      </c>
      <c r="D91" s="25" t="s">
        <v>1658</v>
      </c>
      <c r="E91" s="111">
        <v>774392434</v>
      </c>
      <c r="F91" s="4">
        <v>133390</v>
      </c>
      <c r="G91" s="26">
        <v>1</v>
      </c>
      <c r="H91" s="7">
        <v>45272</v>
      </c>
      <c r="J91" s="4" t="s">
        <v>1717</v>
      </c>
    </row>
    <row r="92" spans="1:10" thickTop="1" thickBot="1" x14ac:dyDescent="0.6">
      <c r="A92" s="26">
        <v>67</v>
      </c>
      <c r="B92" s="43">
        <v>1150393</v>
      </c>
      <c r="C92" s="6" t="s">
        <v>1718</v>
      </c>
      <c r="D92" s="25" t="s">
        <v>1658</v>
      </c>
      <c r="E92" s="111">
        <v>764298003</v>
      </c>
      <c r="F92" s="4">
        <v>138498</v>
      </c>
      <c r="G92" s="26">
        <v>1</v>
      </c>
      <c r="H92" s="7">
        <v>45515</v>
      </c>
      <c r="J92" s="4" t="s">
        <v>1719</v>
      </c>
    </row>
    <row r="93" spans="1:10" thickTop="1" thickBot="1" x14ac:dyDescent="0.6">
      <c r="A93" s="26">
        <v>68</v>
      </c>
      <c r="D93" s="25" t="s">
        <v>1658</v>
      </c>
    </row>
    <row r="94" spans="1:10" thickTop="1" thickBot="1" x14ac:dyDescent="0.6">
      <c r="A94" s="26">
        <v>69</v>
      </c>
      <c r="B94" s="43">
        <v>1151493</v>
      </c>
      <c r="C94" s="6" t="s">
        <v>3011</v>
      </c>
      <c r="D94" s="25" t="s">
        <v>1658</v>
      </c>
      <c r="F94" s="4">
        <v>611320</v>
      </c>
      <c r="G94" s="26">
        <v>1</v>
      </c>
      <c r="H94" s="7">
        <v>45770</v>
      </c>
      <c r="J94" s="4" t="s">
        <v>3012</v>
      </c>
    </row>
    <row r="95" spans="1:10" thickTop="1" thickBot="1" x14ac:dyDescent="0.6">
      <c r="A95" s="26">
        <v>70</v>
      </c>
      <c r="D95" s="25" t="s">
        <v>1658</v>
      </c>
    </row>
    <row r="96" spans="1:10" thickTop="1" thickBot="1" x14ac:dyDescent="0.6">
      <c r="A96" s="26">
        <v>71</v>
      </c>
      <c r="B96" s="43">
        <v>1150221</v>
      </c>
      <c r="C96" s="6" t="s">
        <v>3414</v>
      </c>
      <c r="D96" s="25" t="s">
        <v>1658</v>
      </c>
      <c r="E96" s="111">
        <v>762066010</v>
      </c>
      <c r="F96" s="4">
        <v>139512</v>
      </c>
      <c r="G96" s="26">
        <v>1</v>
      </c>
      <c r="H96" s="7">
        <v>45953</v>
      </c>
    </row>
    <row r="97" spans="1:10" thickTop="1" thickBot="1" x14ac:dyDescent="0.6">
      <c r="A97" s="26">
        <v>72</v>
      </c>
      <c r="D97" s="25" t="s">
        <v>1658</v>
      </c>
    </row>
    <row r="98" spans="1:10" thickTop="1" thickBot="1" x14ac:dyDescent="0.6">
      <c r="A98" s="26">
        <v>73</v>
      </c>
      <c r="B98" s="43">
        <v>1150134</v>
      </c>
      <c r="C98" s="6" t="s">
        <v>1720</v>
      </c>
      <c r="D98" s="25" t="s">
        <v>1658</v>
      </c>
      <c r="E98" s="111">
        <v>761177753</v>
      </c>
      <c r="F98" s="4">
        <v>114754</v>
      </c>
      <c r="G98" s="26">
        <v>1</v>
      </c>
      <c r="H98" s="7">
        <v>45509</v>
      </c>
      <c r="J98" s="4" t="s">
        <v>1721</v>
      </c>
    </row>
    <row r="99" spans="1:10" thickTop="1" thickBot="1" x14ac:dyDescent="0.6">
      <c r="A99" s="26">
        <v>74</v>
      </c>
      <c r="B99" s="43">
        <v>1150856</v>
      </c>
      <c r="C99" s="6" t="s">
        <v>1722</v>
      </c>
      <c r="D99" s="25" t="s">
        <v>1658</v>
      </c>
      <c r="E99" s="111">
        <v>770818124</v>
      </c>
      <c r="F99" s="4">
        <v>259047</v>
      </c>
      <c r="G99" s="26">
        <v>1</v>
      </c>
      <c r="H99" s="7">
        <v>45625</v>
      </c>
    </row>
    <row r="100" spans="1:10" thickTop="1" thickBot="1" x14ac:dyDescent="0.6">
      <c r="A100" s="26">
        <v>75</v>
      </c>
      <c r="D100" s="25" t="s">
        <v>1658</v>
      </c>
    </row>
    <row r="101" spans="1:10" thickTop="1" thickBot="1" x14ac:dyDescent="0.6">
      <c r="A101" s="26">
        <v>76</v>
      </c>
      <c r="B101" s="43">
        <v>1150382</v>
      </c>
      <c r="C101" s="6" t="s">
        <v>1723</v>
      </c>
      <c r="D101" s="25" t="s">
        <v>1658</v>
      </c>
      <c r="E101" s="111">
        <v>776927808</v>
      </c>
      <c r="F101" s="4">
        <v>530936</v>
      </c>
      <c r="G101" s="26">
        <v>1</v>
      </c>
      <c r="J101" s="4" t="s">
        <v>1724</v>
      </c>
    </row>
    <row r="102" spans="1:10" thickTop="1" thickBot="1" x14ac:dyDescent="0.6">
      <c r="A102" s="26">
        <v>77</v>
      </c>
      <c r="C102" s="6" t="s">
        <v>1725</v>
      </c>
      <c r="D102" s="25" t="s">
        <v>1658</v>
      </c>
      <c r="E102" s="111">
        <v>785843001</v>
      </c>
      <c r="I102" s="7"/>
      <c r="J102" s="4" t="s">
        <v>1726</v>
      </c>
    </row>
    <row r="103" spans="1:10" thickTop="1" thickBot="1" x14ac:dyDescent="0.6">
      <c r="A103" s="26">
        <v>78</v>
      </c>
      <c r="B103" s="43">
        <v>1150681</v>
      </c>
      <c r="C103" s="6" t="s">
        <v>1727</v>
      </c>
      <c r="D103" s="25" t="s">
        <v>1658</v>
      </c>
      <c r="F103" s="4" t="str">
        <f>"0"&amp;90863</f>
        <v>090863</v>
      </c>
      <c r="G103" s="26">
        <v>1</v>
      </c>
      <c r="H103" s="7">
        <v>45428</v>
      </c>
      <c r="J103" s="4" t="s">
        <v>1728</v>
      </c>
    </row>
    <row r="104" spans="1:10" thickTop="1" thickBot="1" x14ac:dyDescent="0.6">
      <c r="A104" s="26">
        <v>79</v>
      </c>
      <c r="D104" s="25" t="s">
        <v>1658</v>
      </c>
    </row>
    <row r="105" spans="1:10" thickTop="1" thickBot="1" x14ac:dyDescent="0.6">
      <c r="A105" s="26">
        <v>80</v>
      </c>
      <c r="D105" s="25" t="s">
        <v>1658</v>
      </c>
    </row>
    <row r="106" spans="1:10" thickTop="1" thickBot="1" x14ac:dyDescent="0.6">
      <c r="A106" s="26">
        <v>81</v>
      </c>
      <c r="D106" s="25" t="s">
        <v>1658</v>
      </c>
    </row>
    <row r="107" spans="1:10" thickTop="1" thickBot="1" x14ac:dyDescent="0.6">
      <c r="A107" s="26">
        <v>82</v>
      </c>
      <c r="D107" s="25" t="s">
        <v>1658</v>
      </c>
    </row>
    <row r="108" spans="1:10" thickTop="1" thickBot="1" x14ac:dyDescent="0.6">
      <c r="A108" s="26">
        <v>83</v>
      </c>
      <c r="D108" s="25" t="s">
        <v>1658</v>
      </c>
    </row>
    <row r="109" spans="1:10" thickTop="1" thickBot="1" x14ac:dyDescent="0.6">
      <c r="A109" s="26">
        <v>84</v>
      </c>
      <c r="D109" s="25" t="s">
        <v>1658</v>
      </c>
    </row>
    <row r="110" spans="1:10" thickTop="1" thickBot="1" x14ac:dyDescent="0.6">
      <c r="A110" s="26">
        <v>85</v>
      </c>
      <c r="D110" s="25" t="s">
        <v>1658</v>
      </c>
    </row>
    <row r="111" spans="1:10" thickTop="1" thickBot="1" x14ac:dyDescent="0.6">
      <c r="A111" s="26">
        <v>86</v>
      </c>
      <c r="D111" s="25" t="s">
        <v>1658</v>
      </c>
    </row>
    <row r="112" spans="1:10" thickTop="1" thickBot="1" x14ac:dyDescent="0.6">
      <c r="A112" s="26">
        <v>87</v>
      </c>
      <c r="D112" s="25" t="s">
        <v>1658</v>
      </c>
    </row>
    <row r="113" spans="1:10" thickTop="1" thickBot="1" x14ac:dyDescent="0.6">
      <c r="A113" s="26">
        <v>88</v>
      </c>
      <c r="D113" s="25" t="s">
        <v>1658</v>
      </c>
    </row>
    <row r="114" spans="1:10" thickTop="1" thickBot="1" x14ac:dyDescent="0.6">
      <c r="A114" s="26">
        <v>89</v>
      </c>
      <c r="B114" s="43">
        <v>1150130</v>
      </c>
      <c r="C114" s="6" t="s">
        <v>3411</v>
      </c>
      <c r="D114" s="25" t="s">
        <v>1658</v>
      </c>
      <c r="E114" s="111">
        <v>775458568</v>
      </c>
      <c r="F114" s="4">
        <v>491857</v>
      </c>
      <c r="G114" s="26">
        <v>1</v>
      </c>
    </row>
    <row r="115" spans="1:10" thickTop="1" thickBot="1" x14ac:dyDescent="0.6">
      <c r="A115" s="26">
        <v>90</v>
      </c>
      <c r="B115" s="43">
        <v>1150743</v>
      </c>
      <c r="C115" s="6" t="s">
        <v>1729</v>
      </c>
      <c r="D115" s="25" t="s">
        <v>1658</v>
      </c>
      <c r="E115" s="111" t="s">
        <v>1730</v>
      </c>
      <c r="F115" s="4" t="str">
        <f>"0"&amp;12263</f>
        <v>012263</v>
      </c>
      <c r="G115" s="26">
        <v>1</v>
      </c>
      <c r="H115" s="7">
        <v>45492</v>
      </c>
      <c r="J115" s="4" t="s">
        <v>1731</v>
      </c>
    </row>
    <row r="116" spans="1:10" thickTop="1" thickBot="1" x14ac:dyDescent="0.6">
      <c r="A116" s="26">
        <v>91</v>
      </c>
      <c r="D116" s="25" t="s">
        <v>1658</v>
      </c>
    </row>
    <row r="117" spans="1:10" thickTop="1" thickBot="1" x14ac:dyDescent="0.6">
      <c r="A117" s="26">
        <v>92</v>
      </c>
      <c r="B117" s="43">
        <v>1150622</v>
      </c>
      <c r="C117" s="6" t="s">
        <v>1732</v>
      </c>
      <c r="D117" s="25" t="s">
        <v>1658</v>
      </c>
      <c r="E117" s="111" t="s">
        <v>1733</v>
      </c>
      <c r="F117" s="4">
        <v>158546</v>
      </c>
      <c r="G117" s="26">
        <v>1</v>
      </c>
      <c r="H117" s="7">
        <v>45318</v>
      </c>
      <c r="J117" s="4">
        <v>200018904205</v>
      </c>
    </row>
    <row r="118" spans="1:10" thickTop="1" thickBot="1" x14ac:dyDescent="0.6">
      <c r="A118" s="26">
        <v>93</v>
      </c>
      <c r="D118" s="25" t="s">
        <v>1658</v>
      </c>
    </row>
    <row r="119" spans="1:10" thickTop="1" thickBot="1" x14ac:dyDescent="0.6">
      <c r="A119" s="26">
        <v>94</v>
      </c>
      <c r="B119" s="43">
        <v>1150996</v>
      </c>
      <c r="C119" s="6" t="s">
        <v>1734</v>
      </c>
      <c r="D119" s="25" t="s">
        <v>1658</v>
      </c>
      <c r="E119" s="111" t="s">
        <v>1735</v>
      </c>
      <c r="F119" s="4">
        <v>374473</v>
      </c>
      <c r="G119" s="26">
        <v>1</v>
      </c>
      <c r="H119" s="7">
        <v>45592</v>
      </c>
      <c r="J119" s="4">
        <v>912603733</v>
      </c>
    </row>
    <row r="120" spans="1:10" thickTop="1" thickBot="1" x14ac:dyDescent="0.6">
      <c r="A120" s="26">
        <v>95</v>
      </c>
      <c r="B120" s="43">
        <v>1150861</v>
      </c>
      <c r="C120" s="6" t="s">
        <v>1736</v>
      </c>
      <c r="D120" s="25" t="s">
        <v>1658</v>
      </c>
      <c r="E120" s="111">
        <v>763523872</v>
      </c>
      <c r="F120" s="4">
        <v>298227</v>
      </c>
      <c r="G120" s="26">
        <v>1</v>
      </c>
      <c r="H120" s="7">
        <v>45568</v>
      </c>
      <c r="J120" s="4" t="s">
        <v>1737</v>
      </c>
    </row>
    <row r="121" spans="1:10" thickTop="1" thickBot="1" x14ac:dyDescent="0.6">
      <c r="A121" s="26">
        <v>96</v>
      </c>
      <c r="D121" s="25" t="s">
        <v>1658</v>
      </c>
    </row>
    <row r="122" spans="1:10" thickTop="1" thickBot="1" x14ac:dyDescent="0.6">
      <c r="A122" s="26">
        <v>97</v>
      </c>
      <c r="B122" s="43">
        <v>1150127</v>
      </c>
      <c r="C122" s="6" t="s">
        <v>3260</v>
      </c>
      <c r="D122" s="25" t="s">
        <v>1658</v>
      </c>
      <c r="F122" s="4">
        <v>689039</v>
      </c>
      <c r="G122" s="26">
        <v>1</v>
      </c>
    </row>
    <row r="123" spans="1:10" thickTop="1" thickBot="1" x14ac:dyDescent="0.6">
      <c r="A123" s="26">
        <v>98</v>
      </c>
      <c r="B123" s="43">
        <v>1150959</v>
      </c>
      <c r="C123" s="6" t="s">
        <v>2846</v>
      </c>
      <c r="D123" s="25" t="s">
        <v>1658</v>
      </c>
      <c r="E123" s="111">
        <v>775243831</v>
      </c>
      <c r="F123" s="4">
        <v>295413</v>
      </c>
      <c r="G123" s="26">
        <v>1</v>
      </c>
      <c r="H123" s="7">
        <v>45583</v>
      </c>
      <c r="J123" s="47" t="s">
        <v>2333</v>
      </c>
    </row>
    <row r="124" spans="1:10" thickTop="1" thickBot="1" x14ac:dyDescent="0.6">
      <c r="A124" s="26">
        <v>1</v>
      </c>
      <c r="D124" s="25" t="s">
        <v>1738</v>
      </c>
    </row>
    <row r="125" spans="1:10" thickTop="1" thickBot="1" x14ac:dyDescent="0.6">
      <c r="A125" s="26">
        <v>2</v>
      </c>
      <c r="B125" s="43">
        <v>1150242</v>
      </c>
      <c r="C125" s="6" t="s">
        <v>1739</v>
      </c>
      <c r="D125" s="25" t="s">
        <v>1738</v>
      </c>
      <c r="E125" s="111">
        <v>773656754</v>
      </c>
      <c r="F125" s="4">
        <v>101645</v>
      </c>
      <c r="G125" s="26">
        <v>1</v>
      </c>
      <c r="H125" s="7">
        <v>45514</v>
      </c>
      <c r="J125" s="4">
        <v>197633201410</v>
      </c>
    </row>
    <row r="126" spans="1:10" thickTop="1" thickBot="1" x14ac:dyDescent="0.6">
      <c r="A126" s="26">
        <v>3</v>
      </c>
      <c r="D126" s="25" t="s">
        <v>1738</v>
      </c>
    </row>
    <row r="127" spans="1:10" thickTop="1" thickBot="1" x14ac:dyDescent="0.6">
      <c r="A127" s="26">
        <v>4</v>
      </c>
      <c r="D127" s="25" t="s">
        <v>1738</v>
      </c>
    </row>
    <row r="128" spans="1:10" thickTop="1" thickBot="1" x14ac:dyDescent="0.6">
      <c r="A128" s="26">
        <v>5</v>
      </c>
      <c r="B128" s="43">
        <v>1151288</v>
      </c>
      <c r="C128" s="6" t="s">
        <v>1741</v>
      </c>
      <c r="D128" s="25" t="s">
        <v>1738</v>
      </c>
      <c r="E128" s="111" t="s">
        <v>1742</v>
      </c>
      <c r="F128" s="4">
        <v>376346</v>
      </c>
      <c r="G128" s="26">
        <v>1</v>
      </c>
      <c r="H128" s="7">
        <v>45612</v>
      </c>
    </row>
    <row r="129" spans="1:10" thickTop="1" thickBot="1" x14ac:dyDescent="0.6">
      <c r="A129" s="26">
        <v>6</v>
      </c>
      <c r="D129" s="25" t="s">
        <v>1738</v>
      </c>
    </row>
    <row r="130" spans="1:10" thickTop="1" thickBot="1" x14ac:dyDescent="0.6">
      <c r="A130" s="26">
        <v>7</v>
      </c>
      <c r="D130" s="25" t="s">
        <v>1738</v>
      </c>
    </row>
    <row r="131" spans="1:10" thickTop="1" thickBot="1" x14ac:dyDescent="0.6">
      <c r="A131" s="26">
        <v>8</v>
      </c>
      <c r="D131" s="25" t="s">
        <v>1738</v>
      </c>
    </row>
    <row r="132" spans="1:10" thickTop="1" thickBot="1" x14ac:dyDescent="0.6">
      <c r="A132" s="26">
        <v>9</v>
      </c>
      <c r="B132" s="43">
        <v>1151009</v>
      </c>
      <c r="C132" s="6" t="s">
        <v>1743</v>
      </c>
      <c r="D132" s="25" t="s">
        <v>1738</v>
      </c>
      <c r="E132" s="111">
        <v>776469938</v>
      </c>
      <c r="F132" s="4">
        <v>303738</v>
      </c>
      <c r="G132" s="26">
        <v>1</v>
      </c>
      <c r="H132" s="7">
        <v>45592</v>
      </c>
      <c r="J132" s="4" t="s">
        <v>1744</v>
      </c>
    </row>
    <row r="133" spans="1:10" thickTop="1" thickBot="1" x14ac:dyDescent="0.6">
      <c r="A133" s="26">
        <v>10</v>
      </c>
      <c r="B133" s="43">
        <v>1151131</v>
      </c>
      <c r="C133" s="6" t="s">
        <v>1745</v>
      </c>
      <c r="D133" s="25" t="s">
        <v>1738</v>
      </c>
      <c r="E133" s="111">
        <v>768824471</v>
      </c>
      <c r="F133" s="4" t="s">
        <v>2685</v>
      </c>
      <c r="G133" s="26">
        <v>1</v>
      </c>
      <c r="H133" s="7">
        <v>45604</v>
      </c>
      <c r="J133" s="4" t="s">
        <v>1746</v>
      </c>
    </row>
    <row r="134" spans="1:10" thickTop="1" thickBot="1" x14ac:dyDescent="0.6">
      <c r="A134" s="26">
        <v>11</v>
      </c>
      <c r="D134" s="25" t="s">
        <v>1738</v>
      </c>
    </row>
    <row r="135" spans="1:10" thickTop="1" thickBot="1" x14ac:dyDescent="0.6">
      <c r="A135" s="26">
        <v>12</v>
      </c>
      <c r="D135" s="25" t="s">
        <v>1738</v>
      </c>
    </row>
    <row r="136" spans="1:10" thickTop="1" thickBot="1" x14ac:dyDescent="0.6">
      <c r="A136" s="26">
        <v>13</v>
      </c>
      <c r="D136" s="25" t="s">
        <v>1738</v>
      </c>
    </row>
    <row r="137" spans="1:10" thickTop="1" thickBot="1" x14ac:dyDescent="0.6">
      <c r="A137" s="26">
        <v>14</v>
      </c>
      <c r="D137" s="25" t="s">
        <v>1738</v>
      </c>
    </row>
    <row r="138" spans="1:10" thickTop="1" thickBot="1" x14ac:dyDescent="0.6">
      <c r="A138" s="26">
        <v>15</v>
      </c>
      <c r="D138" s="25" t="s">
        <v>1738</v>
      </c>
    </row>
    <row r="139" spans="1:10" thickTop="1" thickBot="1" x14ac:dyDescent="0.6">
      <c r="A139" s="26">
        <v>16</v>
      </c>
      <c r="B139" s="43">
        <v>1150630</v>
      </c>
      <c r="C139" s="6" t="s">
        <v>1747</v>
      </c>
      <c r="D139" s="25" t="s">
        <v>1738</v>
      </c>
      <c r="E139" s="111" t="s">
        <v>1748</v>
      </c>
      <c r="F139" s="4">
        <v>119274</v>
      </c>
      <c r="G139" s="26">
        <v>1</v>
      </c>
      <c r="H139" s="7">
        <v>45322</v>
      </c>
      <c r="J139" s="4" t="s">
        <v>1749</v>
      </c>
    </row>
    <row r="140" spans="1:10" thickTop="1" thickBot="1" x14ac:dyDescent="0.6">
      <c r="A140" s="26">
        <v>17</v>
      </c>
      <c r="B140" s="43">
        <v>1150408</v>
      </c>
      <c r="C140" s="6" t="s">
        <v>2779</v>
      </c>
      <c r="D140" s="25" t="s">
        <v>1738</v>
      </c>
      <c r="E140" s="111">
        <v>776162376</v>
      </c>
      <c r="F140" s="4">
        <v>620271</v>
      </c>
      <c r="G140" s="26">
        <v>1</v>
      </c>
      <c r="H140" s="7">
        <v>45715</v>
      </c>
      <c r="J140" s="4" t="s">
        <v>2780</v>
      </c>
    </row>
    <row r="141" spans="1:10" thickTop="1" thickBot="1" x14ac:dyDescent="0.6">
      <c r="A141" s="26">
        <v>18</v>
      </c>
      <c r="B141" s="43">
        <v>1150846</v>
      </c>
      <c r="C141" s="6" t="s">
        <v>1750</v>
      </c>
      <c r="D141" s="25" t="s">
        <v>1738</v>
      </c>
      <c r="E141" s="111" t="s">
        <v>1751</v>
      </c>
      <c r="F141" s="4">
        <v>100050</v>
      </c>
      <c r="G141" s="26">
        <v>1</v>
      </c>
      <c r="H141" s="7">
        <v>45561</v>
      </c>
      <c r="J141" s="4" t="s">
        <v>1752</v>
      </c>
    </row>
    <row r="142" spans="1:10" thickTop="1" thickBot="1" x14ac:dyDescent="0.6">
      <c r="A142" s="26">
        <v>19</v>
      </c>
      <c r="D142" s="25" t="s">
        <v>1738</v>
      </c>
    </row>
    <row r="143" spans="1:10" thickTop="1" thickBot="1" x14ac:dyDescent="0.6">
      <c r="A143" s="26">
        <v>20</v>
      </c>
      <c r="B143" s="43">
        <v>1150820</v>
      </c>
      <c r="C143" s="6" t="s">
        <v>1753</v>
      </c>
      <c r="D143" s="25" t="s">
        <v>1738</v>
      </c>
      <c r="E143" s="111">
        <v>763622545</v>
      </c>
      <c r="F143" s="4">
        <v>131501</v>
      </c>
      <c r="G143" s="26">
        <v>1</v>
      </c>
      <c r="H143" s="7">
        <v>45540</v>
      </c>
    </row>
    <row r="144" spans="1:10" thickTop="1" thickBot="1" x14ac:dyDescent="0.6">
      <c r="A144" s="26">
        <v>21</v>
      </c>
      <c r="B144" s="43">
        <v>1150609</v>
      </c>
      <c r="C144" s="6" t="s">
        <v>1754</v>
      </c>
      <c r="D144" s="25" t="s">
        <v>1738</v>
      </c>
      <c r="E144" s="111">
        <v>760831406</v>
      </c>
      <c r="F144" s="4" t="str">
        <f>"0"&amp;35710</f>
        <v>035710</v>
      </c>
      <c r="G144" s="26">
        <v>1</v>
      </c>
      <c r="H144" s="7">
        <v>45304</v>
      </c>
      <c r="J144" s="4" t="s">
        <v>1755</v>
      </c>
    </row>
    <row r="145" spans="1:10" thickTop="1" thickBot="1" x14ac:dyDescent="0.6">
      <c r="A145" s="26">
        <v>22</v>
      </c>
      <c r="D145" s="25" t="s">
        <v>1738</v>
      </c>
    </row>
    <row r="146" spans="1:10" thickTop="1" thickBot="1" x14ac:dyDescent="0.6">
      <c r="A146" s="26">
        <v>23</v>
      </c>
      <c r="B146" s="43">
        <v>1150617</v>
      </c>
      <c r="C146" s="6" t="s">
        <v>1756</v>
      </c>
      <c r="D146" s="25" t="s">
        <v>1738</v>
      </c>
      <c r="E146" s="111">
        <v>771718776</v>
      </c>
      <c r="F146" s="4" t="str">
        <f>"0"&amp;11315</f>
        <v>011315</v>
      </c>
      <c r="G146" s="26">
        <v>1</v>
      </c>
      <c r="H146" s="7">
        <v>45311</v>
      </c>
    </row>
    <row r="147" spans="1:10" thickTop="1" thickBot="1" x14ac:dyDescent="0.6">
      <c r="A147" s="26">
        <v>24</v>
      </c>
      <c r="B147" s="43">
        <v>1151043</v>
      </c>
      <c r="C147" s="6" t="s">
        <v>1757</v>
      </c>
      <c r="D147" s="25" t="s">
        <v>1738</v>
      </c>
      <c r="E147" s="111" t="s">
        <v>1758</v>
      </c>
      <c r="F147" s="4">
        <v>366800</v>
      </c>
      <c r="G147" s="26">
        <v>1</v>
      </c>
      <c r="H147" s="7">
        <v>45599</v>
      </c>
      <c r="J147" s="4" t="s">
        <v>1759</v>
      </c>
    </row>
    <row r="148" spans="1:10" thickTop="1" thickBot="1" x14ac:dyDescent="0.6">
      <c r="A148" s="26">
        <v>25</v>
      </c>
      <c r="D148" s="25" t="s">
        <v>1738</v>
      </c>
    </row>
    <row r="149" spans="1:10" thickTop="1" thickBot="1" x14ac:dyDescent="0.6">
      <c r="A149" s="26">
        <v>26</v>
      </c>
      <c r="B149" s="43">
        <v>1150823</v>
      </c>
      <c r="C149" s="6" t="s">
        <v>3017</v>
      </c>
      <c r="D149" s="25" t="s">
        <v>1738</v>
      </c>
      <c r="E149" s="111">
        <v>764721402</v>
      </c>
      <c r="F149" s="4" t="str">
        <f>"0"&amp;98825</f>
        <v>098825</v>
      </c>
      <c r="G149" s="26">
        <v>1</v>
      </c>
      <c r="H149" s="7">
        <v>45541</v>
      </c>
    </row>
    <row r="150" spans="1:10" thickTop="1" thickBot="1" x14ac:dyDescent="0.6">
      <c r="A150" s="26">
        <v>27</v>
      </c>
      <c r="D150" s="25" t="s">
        <v>1738</v>
      </c>
    </row>
    <row r="151" spans="1:10" thickTop="1" thickBot="1" x14ac:dyDescent="0.6">
      <c r="A151" s="26">
        <v>28</v>
      </c>
      <c r="B151" s="43">
        <v>1150615</v>
      </c>
      <c r="C151" s="6" t="s">
        <v>1760</v>
      </c>
      <c r="D151" s="25" t="s">
        <v>1738</v>
      </c>
      <c r="E151" s="111">
        <v>775772495</v>
      </c>
      <c r="F151" s="4">
        <v>158058</v>
      </c>
      <c r="G151" s="26">
        <v>1</v>
      </c>
      <c r="J151" s="4" t="s">
        <v>1761</v>
      </c>
    </row>
    <row r="152" spans="1:10" thickTop="1" thickBot="1" x14ac:dyDescent="0.6">
      <c r="A152" s="26">
        <v>29</v>
      </c>
      <c r="B152" s="43">
        <v>1151290</v>
      </c>
      <c r="C152" s="6" t="s">
        <v>1762</v>
      </c>
      <c r="D152" s="25" t="s">
        <v>1738</v>
      </c>
      <c r="E152" s="111" t="s">
        <v>1763</v>
      </c>
      <c r="F152" s="4">
        <v>174113</v>
      </c>
      <c r="G152" s="26">
        <v>1</v>
      </c>
      <c r="H152" s="7">
        <v>45612</v>
      </c>
    </row>
    <row r="153" spans="1:10" thickTop="1" thickBot="1" x14ac:dyDescent="0.6">
      <c r="A153" s="26">
        <v>30</v>
      </c>
      <c r="B153" s="43">
        <v>1151037</v>
      </c>
      <c r="C153" s="6" t="s">
        <v>1764</v>
      </c>
      <c r="D153" s="25" t="s">
        <v>1738</v>
      </c>
      <c r="E153" s="111" t="s">
        <v>1765</v>
      </c>
      <c r="F153" s="4">
        <v>279755</v>
      </c>
      <c r="G153" s="26">
        <v>1</v>
      </c>
      <c r="H153" s="7">
        <v>45594</v>
      </c>
      <c r="J153" s="4">
        <v>197521102029</v>
      </c>
    </row>
    <row r="154" spans="1:10" thickTop="1" thickBot="1" x14ac:dyDescent="0.6">
      <c r="A154" s="26">
        <v>31</v>
      </c>
      <c r="B154" s="43">
        <v>1150502</v>
      </c>
      <c r="C154" s="6" t="s">
        <v>1766</v>
      </c>
      <c r="D154" s="25" t="s">
        <v>1738</v>
      </c>
      <c r="E154" s="111" t="s">
        <v>1767</v>
      </c>
      <c r="F154" s="4" t="str">
        <f>"0"&amp;90517</f>
        <v>090517</v>
      </c>
      <c r="G154" s="26">
        <v>1</v>
      </c>
      <c r="H154" s="7">
        <v>45504</v>
      </c>
      <c r="J154" s="4" t="s">
        <v>1768</v>
      </c>
    </row>
    <row r="155" spans="1:10" thickTop="1" thickBot="1" x14ac:dyDescent="0.6">
      <c r="A155" s="26">
        <v>32</v>
      </c>
      <c r="B155" s="43">
        <v>1151165</v>
      </c>
      <c r="C155" s="6" t="s">
        <v>1769</v>
      </c>
      <c r="D155" s="25" t="s">
        <v>1738</v>
      </c>
      <c r="E155" s="111">
        <v>768420179</v>
      </c>
      <c r="F155" s="4">
        <v>270499</v>
      </c>
      <c r="G155" s="26">
        <v>1</v>
      </c>
      <c r="H155" s="7">
        <v>45605</v>
      </c>
      <c r="J155" s="4">
        <v>200212501726</v>
      </c>
    </row>
    <row r="156" spans="1:10" thickTop="1" thickBot="1" x14ac:dyDescent="0.6">
      <c r="A156" s="26">
        <v>33</v>
      </c>
      <c r="D156" s="25" t="s">
        <v>1738</v>
      </c>
    </row>
    <row r="157" spans="1:10" thickTop="1" thickBot="1" x14ac:dyDescent="0.6">
      <c r="A157" s="26">
        <v>34</v>
      </c>
      <c r="B157" s="43">
        <v>1151582</v>
      </c>
      <c r="C157" s="6" t="s">
        <v>3359</v>
      </c>
      <c r="D157" s="25" t="s">
        <v>1738</v>
      </c>
      <c r="E157" s="111">
        <v>788031843</v>
      </c>
      <c r="F157" s="4">
        <v>689888</v>
      </c>
      <c r="G157" s="26">
        <v>1</v>
      </c>
      <c r="H157" s="7">
        <v>45915</v>
      </c>
      <c r="J157" s="4">
        <v>199808703927</v>
      </c>
    </row>
    <row r="158" spans="1:10" thickTop="1" thickBot="1" x14ac:dyDescent="0.6">
      <c r="A158" s="26">
        <v>35</v>
      </c>
      <c r="B158" s="43">
        <v>1151216</v>
      </c>
      <c r="C158" s="6" t="s">
        <v>1770</v>
      </c>
      <c r="D158" s="25" t="s">
        <v>1738</v>
      </c>
      <c r="E158" s="111">
        <v>762088829</v>
      </c>
      <c r="F158" s="4">
        <v>169105</v>
      </c>
      <c r="G158" s="26">
        <v>1</v>
      </c>
      <c r="H158" s="7">
        <v>45608</v>
      </c>
    </row>
    <row r="159" spans="1:10" thickTop="1" thickBot="1" x14ac:dyDescent="0.6">
      <c r="A159" s="26">
        <v>36</v>
      </c>
      <c r="D159" s="25" t="s">
        <v>1738</v>
      </c>
    </row>
    <row r="160" spans="1:10" thickTop="1" thickBot="1" x14ac:dyDescent="0.6">
      <c r="A160" s="26">
        <v>37</v>
      </c>
      <c r="D160" s="25" t="s">
        <v>1738</v>
      </c>
    </row>
    <row r="161" spans="1:10" thickTop="1" thickBot="1" x14ac:dyDescent="0.6">
      <c r="A161" s="26">
        <v>38</v>
      </c>
      <c r="B161" s="43">
        <v>1150934</v>
      </c>
      <c r="C161" s="6" t="s">
        <v>3397</v>
      </c>
      <c r="D161" s="25" t="s">
        <v>1738</v>
      </c>
      <c r="E161" s="111">
        <v>774225596</v>
      </c>
      <c r="F161" s="4">
        <v>382807</v>
      </c>
      <c r="G161" s="26">
        <v>1</v>
      </c>
      <c r="H161" s="7">
        <v>45943</v>
      </c>
      <c r="J161" s="4" t="s">
        <v>3398</v>
      </c>
    </row>
    <row r="162" spans="1:10" thickTop="1" thickBot="1" x14ac:dyDescent="0.6">
      <c r="A162" s="26">
        <v>39</v>
      </c>
      <c r="D162" s="25" t="s">
        <v>1738</v>
      </c>
      <c r="H162" s="7"/>
    </row>
    <row r="163" spans="1:10" thickTop="1" thickBot="1" x14ac:dyDescent="0.6">
      <c r="A163" s="26">
        <v>40</v>
      </c>
      <c r="B163" s="43">
        <v>1151405</v>
      </c>
      <c r="C163" s="6" t="s">
        <v>998</v>
      </c>
      <c r="D163" s="25" t="s">
        <v>1738</v>
      </c>
      <c r="E163" s="111">
        <v>772038270</v>
      </c>
      <c r="F163" s="4">
        <v>274236</v>
      </c>
      <c r="G163" s="26">
        <v>1</v>
      </c>
      <c r="H163" s="7">
        <v>45896</v>
      </c>
      <c r="J163" s="4">
        <v>200209001905</v>
      </c>
    </row>
    <row r="164" spans="1:10" thickTop="1" thickBot="1" x14ac:dyDescent="0.6">
      <c r="A164" s="26">
        <v>41</v>
      </c>
      <c r="B164" s="43">
        <v>1151262</v>
      </c>
      <c r="C164" s="6" t="s">
        <v>1771</v>
      </c>
      <c r="D164" s="25" t="s">
        <v>1738</v>
      </c>
      <c r="E164" s="111" t="s">
        <v>1772</v>
      </c>
      <c r="F164" s="4">
        <v>447139</v>
      </c>
      <c r="G164" s="26">
        <v>1</v>
      </c>
      <c r="H164" s="7">
        <v>45610</v>
      </c>
      <c r="J164" s="4" t="s">
        <v>1773</v>
      </c>
    </row>
    <row r="165" spans="1:10" thickTop="1" thickBot="1" x14ac:dyDescent="0.6">
      <c r="A165" s="26">
        <v>42</v>
      </c>
      <c r="D165" s="25" t="s">
        <v>1738</v>
      </c>
    </row>
    <row r="166" spans="1:10" thickTop="1" thickBot="1" x14ac:dyDescent="0.6">
      <c r="A166" s="26">
        <v>43</v>
      </c>
      <c r="B166" s="43">
        <v>1150937</v>
      </c>
      <c r="C166" s="6" t="s">
        <v>1774</v>
      </c>
      <c r="D166" s="25" t="s">
        <v>1738</v>
      </c>
      <c r="E166" s="111">
        <v>763589899</v>
      </c>
      <c r="F166" s="4">
        <v>555990</v>
      </c>
      <c r="G166" s="26">
        <v>1</v>
      </c>
      <c r="H166" s="7">
        <v>45580</v>
      </c>
    </row>
    <row r="167" spans="1:10" thickTop="1" thickBot="1" x14ac:dyDescent="0.6">
      <c r="A167" s="26">
        <v>44</v>
      </c>
      <c r="B167" s="43">
        <v>1151120</v>
      </c>
      <c r="C167" s="6" t="s">
        <v>1775</v>
      </c>
      <c r="D167" s="25" t="s">
        <v>1738</v>
      </c>
      <c r="E167" s="111">
        <v>776228945</v>
      </c>
      <c r="F167" s="4">
        <v>357015</v>
      </c>
      <c r="G167" s="26">
        <v>1</v>
      </c>
      <c r="H167" s="7">
        <v>45604</v>
      </c>
      <c r="J167" s="4">
        <v>197136510067</v>
      </c>
    </row>
    <row r="168" spans="1:10" thickTop="1" thickBot="1" x14ac:dyDescent="0.6">
      <c r="A168" s="26">
        <v>45</v>
      </c>
      <c r="B168" s="43">
        <v>1151509</v>
      </c>
      <c r="C168" s="6" t="s">
        <v>3082</v>
      </c>
      <c r="D168" s="25" t="s">
        <v>1738</v>
      </c>
      <c r="E168" s="111">
        <v>767275496</v>
      </c>
      <c r="F168" s="4">
        <v>91531</v>
      </c>
      <c r="G168" s="26">
        <v>1</v>
      </c>
      <c r="H168" s="7">
        <v>45792</v>
      </c>
      <c r="J168" s="4">
        <v>199526404807</v>
      </c>
    </row>
    <row r="169" spans="1:10" thickTop="1" thickBot="1" x14ac:dyDescent="0.6">
      <c r="A169" s="26">
        <v>46</v>
      </c>
      <c r="B169" s="43">
        <v>1150492</v>
      </c>
      <c r="C169" s="6" t="s">
        <v>3018</v>
      </c>
      <c r="D169" s="25" t="s">
        <v>1738</v>
      </c>
      <c r="E169" s="111">
        <v>768024755</v>
      </c>
      <c r="F169" s="4">
        <v>117658</v>
      </c>
      <c r="G169" s="26">
        <v>1</v>
      </c>
      <c r="H169" s="7">
        <v>45124</v>
      </c>
      <c r="J169" s="4" t="s">
        <v>3019</v>
      </c>
    </row>
    <row r="170" spans="1:10" thickTop="1" thickBot="1" x14ac:dyDescent="0.6">
      <c r="A170" s="26">
        <v>47</v>
      </c>
      <c r="B170" s="43">
        <v>1151207</v>
      </c>
      <c r="C170" s="6" t="s">
        <v>1776</v>
      </c>
      <c r="D170" s="25" t="s">
        <v>1738</v>
      </c>
      <c r="E170" s="111">
        <v>766051215</v>
      </c>
      <c r="F170" s="4">
        <v>279516</v>
      </c>
      <c r="G170" s="26">
        <v>1</v>
      </c>
      <c r="H170" s="7">
        <v>45607</v>
      </c>
      <c r="J170" s="4" t="s">
        <v>1777</v>
      </c>
    </row>
    <row r="171" spans="1:10" thickTop="1" thickBot="1" x14ac:dyDescent="0.6">
      <c r="A171" s="26">
        <v>48</v>
      </c>
      <c r="D171" s="25" t="s">
        <v>1738</v>
      </c>
    </row>
    <row r="172" spans="1:10" thickTop="1" thickBot="1" x14ac:dyDescent="0.6">
      <c r="A172" s="26">
        <v>49</v>
      </c>
      <c r="B172" s="43">
        <v>1151357</v>
      </c>
      <c r="C172" s="6" t="s">
        <v>3020</v>
      </c>
      <c r="D172" s="25" t="s">
        <v>1738</v>
      </c>
      <c r="E172" s="111">
        <v>759990899</v>
      </c>
      <c r="F172" s="4">
        <v>644875</v>
      </c>
      <c r="G172" s="26">
        <v>1</v>
      </c>
      <c r="H172" s="7">
        <v>45687</v>
      </c>
      <c r="J172" s="4" t="s">
        <v>3021</v>
      </c>
    </row>
    <row r="173" spans="1:10" thickTop="1" thickBot="1" x14ac:dyDescent="0.6">
      <c r="A173" s="26">
        <v>50</v>
      </c>
      <c r="D173" s="25" t="s">
        <v>1738</v>
      </c>
    </row>
    <row r="174" spans="1:10" thickTop="1" thickBot="1" x14ac:dyDescent="0.6">
      <c r="A174" s="26">
        <v>51</v>
      </c>
      <c r="B174" s="43">
        <v>1151215</v>
      </c>
      <c r="C174" s="6" t="s">
        <v>1778</v>
      </c>
      <c r="D174" s="25" t="s">
        <v>1738</v>
      </c>
      <c r="E174" s="111" t="s">
        <v>3446</v>
      </c>
      <c r="F174" s="4">
        <v>345028</v>
      </c>
      <c r="G174" s="26">
        <v>1</v>
      </c>
      <c r="H174" s="7">
        <v>45608</v>
      </c>
    </row>
    <row r="175" spans="1:10" thickTop="1" thickBot="1" x14ac:dyDescent="0.6">
      <c r="A175" s="26">
        <v>52</v>
      </c>
      <c r="B175" s="43">
        <v>1150346</v>
      </c>
      <c r="C175" s="6" t="s">
        <v>1779</v>
      </c>
      <c r="D175" s="25" t="s">
        <v>1738</v>
      </c>
      <c r="E175" s="111">
        <v>765600120</v>
      </c>
      <c r="F175" s="4">
        <v>605076</v>
      </c>
      <c r="G175" s="26">
        <v>1</v>
      </c>
      <c r="J175" s="4">
        <v>198905202602</v>
      </c>
    </row>
    <row r="176" spans="1:10" thickTop="1" thickBot="1" x14ac:dyDescent="0.6">
      <c r="A176" s="26">
        <v>53</v>
      </c>
      <c r="D176" s="25" t="s">
        <v>1738</v>
      </c>
    </row>
    <row r="177" spans="1:10" thickTop="1" thickBot="1" x14ac:dyDescent="0.6">
      <c r="A177" s="26">
        <v>54</v>
      </c>
      <c r="B177" s="43">
        <v>1151214</v>
      </c>
      <c r="C177" s="6" t="s">
        <v>1780</v>
      </c>
      <c r="D177" s="25" t="s">
        <v>1738</v>
      </c>
      <c r="E177" s="111" t="s">
        <v>1781</v>
      </c>
      <c r="F177" s="4">
        <v>212814</v>
      </c>
      <c r="G177" s="26">
        <v>1</v>
      </c>
      <c r="H177" s="7">
        <v>45608</v>
      </c>
      <c r="J177" s="4" t="s">
        <v>1782</v>
      </c>
    </row>
    <row r="178" spans="1:10" thickTop="1" thickBot="1" x14ac:dyDescent="0.6">
      <c r="A178" s="26">
        <v>55</v>
      </c>
      <c r="D178" s="25" t="s">
        <v>1738</v>
      </c>
      <c r="H178" s="7"/>
    </row>
    <row r="179" spans="1:10" thickTop="1" thickBot="1" x14ac:dyDescent="0.6">
      <c r="A179" s="26">
        <v>56</v>
      </c>
      <c r="B179" s="43">
        <v>1151516</v>
      </c>
      <c r="C179" s="6" t="s">
        <v>3106</v>
      </c>
      <c r="D179" s="25" t="s">
        <v>1738</v>
      </c>
      <c r="E179" s="111" t="s">
        <v>1781</v>
      </c>
      <c r="F179" s="4">
        <v>467442</v>
      </c>
      <c r="G179" s="26">
        <v>1</v>
      </c>
      <c r="H179" s="7">
        <v>45806</v>
      </c>
      <c r="J179" s="4" t="s">
        <v>3107</v>
      </c>
    </row>
    <row r="180" spans="1:10" thickTop="1" thickBot="1" x14ac:dyDescent="0.6">
      <c r="A180" s="26">
        <v>1</v>
      </c>
      <c r="D180" s="25" t="s">
        <v>1783</v>
      </c>
      <c r="H180" s="7"/>
    </row>
    <row r="181" spans="1:10" thickTop="1" thickBot="1" x14ac:dyDescent="0.6">
      <c r="A181" s="26">
        <v>2</v>
      </c>
      <c r="B181" s="43">
        <v>1150607</v>
      </c>
      <c r="C181" s="6" t="s">
        <v>1784</v>
      </c>
      <c r="D181" s="25" t="s">
        <v>1783</v>
      </c>
      <c r="E181" s="111">
        <v>774174899</v>
      </c>
      <c r="F181" s="4">
        <v>137441</v>
      </c>
      <c r="G181" s="26">
        <v>1</v>
      </c>
      <c r="H181" s="7">
        <v>45303</v>
      </c>
      <c r="J181" s="4">
        <v>19538381010</v>
      </c>
    </row>
    <row r="182" spans="1:10" thickTop="1" thickBot="1" x14ac:dyDescent="0.6">
      <c r="A182" s="26">
        <v>3</v>
      </c>
      <c r="B182" s="43">
        <v>1150634</v>
      </c>
      <c r="C182" s="6" t="s">
        <v>1785</v>
      </c>
      <c r="D182" s="25" t="s">
        <v>1783</v>
      </c>
      <c r="E182" s="111">
        <v>768713511</v>
      </c>
      <c r="F182" s="4">
        <v>100084</v>
      </c>
      <c r="G182" s="26">
        <v>1</v>
      </c>
      <c r="H182" s="7">
        <v>45327</v>
      </c>
      <c r="J182" s="4" t="s">
        <v>1786</v>
      </c>
    </row>
    <row r="183" spans="1:10" thickTop="1" thickBot="1" x14ac:dyDescent="0.6">
      <c r="A183" s="26">
        <v>4</v>
      </c>
      <c r="B183" s="43">
        <v>1150636</v>
      </c>
      <c r="C183" s="6" t="s">
        <v>1787</v>
      </c>
      <c r="D183" s="25" t="s">
        <v>1783</v>
      </c>
      <c r="E183" s="111">
        <v>779263078</v>
      </c>
      <c r="F183" s="4">
        <v>156672</v>
      </c>
      <c r="G183" s="26">
        <v>1</v>
      </c>
      <c r="H183" s="7">
        <v>45335</v>
      </c>
      <c r="J183" s="4" t="s">
        <v>1788</v>
      </c>
    </row>
    <row r="184" spans="1:10" thickTop="1" thickBot="1" x14ac:dyDescent="0.6">
      <c r="A184" s="26">
        <v>5</v>
      </c>
      <c r="B184" s="43">
        <v>1150170</v>
      </c>
      <c r="C184" s="6" t="s">
        <v>1789</v>
      </c>
      <c r="D184" s="25" t="s">
        <v>1783</v>
      </c>
      <c r="E184" s="111">
        <v>771830233</v>
      </c>
      <c r="F184" s="4">
        <v>561790</v>
      </c>
      <c r="G184" s="26">
        <v>1</v>
      </c>
      <c r="H184" s="7"/>
      <c r="J184" s="4" t="s">
        <v>1790</v>
      </c>
    </row>
    <row r="185" spans="1:10" thickTop="1" thickBot="1" x14ac:dyDescent="0.6">
      <c r="A185" s="26">
        <v>6</v>
      </c>
      <c r="B185" s="43">
        <v>1150659</v>
      </c>
      <c r="C185" s="6" t="s">
        <v>1791</v>
      </c>
      <c r="D185" s="25" t="s">
        <v>1783</v>
      </c>
      <c r="E185" s="111">
        <v>763840458</v>
      </c>
      <c r="F185" s="4">
        <v>131923</v>
      </c>
      <c r="G185" s="26">
        <v>1</v>
      </c>
      <c r="H185" s="7">
        <v>45390</v>
      </c>
      <c r="J185" s="4" t="s">
        <v>1792</v>
      </c>
    </row>
    <row r="186" spans="1:10" thickTop="1" thickBot="1" x14ac:dyDescent="0.6">
      <c r="A186" s="26">
        <v>7</v>
      </c>
      <c r="B186" s="43">
        <v>1150666</v>
      </c>
      <c r="C186" s="6" t="s">
        <v>1793</v>
      </c>
      <c r="D186" s="25" t="s">
        <v>1783</v>
      </c>
      <c r="E186" s="111">
        <v>768713511</v>
      </c>
      <c r="F186" s="4">
        <v>114093</v>
      </c>
      <c r="G186" s="26">
        <v>1</v>
      </c>
      <c r="H186" s="7">
        <v>45403</v>
      </c>
      <c r="J186" s="4">
        <v>196753100696</v>
      </c>
    </row>
    <row r="187" spans="1:10" thickTop="1" thickBot="1" x14ac:dyDescent="0.6">
      <c r="A187" s="26">
        <v>8</v>
      </c>
      <c r="B187" s="43">
        <v>1150674</v>
      </c>
      <c r="C187" s="6" t="s">
        <v>1794</v>
      </c>
      <c r="D187" s="25" t="s">
        <v>1783</v>
      </c>
      <c r="E187" s="111">
        <v>771595165</v>
      </c>
      <c r="F187" s="4">
        <v>109085</v>
      </c>
      <c r="G187" s="26">
        <v>1</v>
      </c>
      <c r="H187" s="7">
        <v>45416</v>
      </c>
      <c r="J187" s="4" t="s">
        <v>1795</v>
      </c>
    </row>
    <row r="188" spans="1:10" thickTop="1" thickBot="1" x14ac:dyDescent="0.6">
      <c r="A188" s="26">
        <v>9</v>
      </c>
      <c r="B188" s="43">
        <v>1151193</v>
      </c>
      <c r="C188" s="6" t="s">
        <v>1796</v>
      </c>
      <c r="D188" s="25" t="s">
        <v>1783</v>
      </c>
      <c r="E188" s="111">
        <v>776680257</v>
      </c>
      <c r="F188" s="4">
        <v>375629</v>
      </c>
      <c r="G188" s="26">
        <v>1</v>
      </c>
      <c r="H188" s="7">
        <v>45606</v>
      </c>
      <c r="J188" s="4" t="s">
        <v>1797</v>
      </c>
    </row>
    <row r="189" spans="1:10" thickTop="1" thickBot="1" x14ac:dyDescent="0.6">
      <c r="A189" s="26">
        <v>10</v>
      </c>
      <c r="B189" s="43">
        <v>1151330</v>
      </c>
      <c r="C189" s="6" t="s">
        <v>1798</v>
      </c>
      <c r="D189" s="25" t="s">
        <v>1783</v>
      </c>
      <c r="E189" s="111">
        <v>771946605</v>
      </c>
      <c r="F189" s="4">
        <v>214737</v>
      </c>
      <c r="G189" s="26">
        <v>1</v>
      </c>
      <c r="H189" s="7">
        <v>45629</v>
      </c>
      <c r="J189" s="4" t="s">
        <v>1799</v>
      </c>
    </row>
    <row r="190" spans="1:10" thickTop="1" thickBot="1" x14ac:dyDescent="0.6">
      <c r="A190" s="26">
        <v>11</v>
      </c>
      <c r="B190" s="43">
        <v>1151339</v>
      </c>
      <c r="C190" s="6" t="s">
        <v>1800</v>
      </c>
      <c r="D190" s="25" t="s">
        <v>1783</v>
      </c>
      <c r="E190" s="111">
        <v>770516667</v>
      </c>
      <c r="F190" s="4" t="s">
        <v>3098</v>
      </c>
      <c r="G190" s="26">
        <v>12</v>
      </c>
      <c r="H190" s="7">
        <v>45636</v>
      </c>
    </row>
    <row r="191" spans="1:10" thickTop="1" thickBot="1" x14ac:dyDescent="0.6">
      <c r="A191" s="26">
        <v>12</v>
      </c>
      <c r="B191" s="43">
        <v>1150173</v>
      </c>
      <c r="C191" s="6" t="s">
        <v>3151</v>
      </c>
      <c r="D191" s="25" t="s">
        <v>1783</v>
      </c>
      <c r="E191" s="111">
        <v>766045878</v>
      </c>
      <c r="F191" s="4">
        <v>315502</v>
      </c>
      <c r="G191" s="26">
        <v>1</v>
      </c>
      <c r="H191" s="7"/>
      <c r="J191" s="4" t="s">
        <v>3152</v>
      </c>
    </row>
    <row r="192" spans="1:10" thickTop="1" thickBot="1" x14ac:dyDescent="0.6">
      <c r="A192" s="26">
        <v>13</v>
      </c>
      <c r="B192" s="43">
        <v>1151606</v>
      </c>
      <c r="C192" s="6" t="s">
        <v>3439</v>
      </c>
      <c r="D192" s="25" t="s">
        <v>1783</v>
      </c>
      <c r="E192" s="111">
        <v>774375151</v>
      </c>
      <c r="F192" s="4">
        <v>365190</v>
      </c>
      <c r="G192" s="26">
        <v>1</v>
      </c>
      <c r="H192" s="7">
        <v>45969</v>
      </c>
      <c r="J192" s="4" t="s">
        <v>3440</v>
      </c>
    </row>
    <row r="193" spans="1:10" thickTop="1" thickBot="1" x14ac:dyDescent="0.6">
      <c r="A193" s="26">
        <v>1</v>
      </c>
      <c r="B193" s="43">
        <v>1150387</v>
      </c>
      <c r="C193" s="6" t="s">
        <v>3047</v>
      </c>
      <c r="D193" s="25" t="s">
        <v>1801</v>
      </c>
      <c r="E193" s="111">
        <v>770875934</v>
      </c>
      <c r="F193" s="4">
        <v>6364069</v>
      </c>
      <c r="G193" s="26">
        <v>1</v>
      </c>
      <c r="H193" s="7">
        <v>45782</v>
      </c>
      <c r="J193" s="4" t="s">
        <v>3048</v>
      </c>
    </row>
    <row r="194" spans="1:10" thickTop="1" thickBot="1" x14ac:dyDescent="0.6">
      <c r="A194" s="26">
        <v>2</v>
      </c>
      <c r="B194" s="43">
        <v>1151118</v>
      </c>
      <c r="C194" s="6" t="s">
        <v>1802</v>
      </c>
      <c r="D194" s="25" t="s">
        <v>1801</v>
      </c>
      <c r="E194" s="111" t="s">
        <v>1803</v>
      </c>
      <c r="F194" s="4">
        <v>262785</v>
      </c>
      <c r="G194" s="26">
        <v>1</v>
      </c>
      <c r="H194" s="7">
        <v>45604</v>
      </c>
      <c r="I194" s="7"/>
      <c r="J194" s="4" t="s">
        <v>1804</v>
      </c>
    </row>
    <row r="195" spans="1:10" thickTop="1" thickBot="1" x14ac:dyDescent="0.6">
      <c r="A195" s="26">
        <v>3</v>
      </c>
      <c r="D195" s="25" t="s">
        <v>1801</v>
      </c>
    </row>
    <row r="196" spans="1:10" thickTop="1" thickBot="1" x14ac:dyDescent="0.6">
      <c r="A196" s="26">
        <v>4</v>
      </c>
      <c r="D196" s="25" t="s">
        <v>1801</v>
      </c>
    </row>
    <row r="197" spans="1:10" thickTop="1" thickBot="1" x14ac:dyDescent="0.6">
      <c r="A197" s="26">
        <v>5</v>
      </c>
      <c r="D197" s="25" t="s">
        <v>1801</v>
      </c>
    </row>
    <row r="198" spans="1:10" thickTop="1" thickBot="1" x14ac:dyDescent="0.6">
      <c r="A198" s="26">
        <v>6</v>
      </c>
      <c r="D198" s="25" t="s">
        <v>1801</v>
      </c>
    </row>
    <row r="199" spans="1:10" thickTop="1" thickBot="1" x14ac:dyDescent="0.6">
      <c r="A199" s="26">
        <v>7</v>
      </c>
      <c r="D199" s="25" t="s">
        <v>1801</v>
      </c>
    </row>
    <row r="200" spans="1:10" thickTop="1" thickBot="1" x14ac:dyDescent="0.6">
      <c r="A200" s="26">
        <v>8</v>
      </c>
      <c r="D200" s="25" t="s">
        <v>1801</v>
      </c>
    </row>
    <row r="201" spans="1:10" thickTop="1" thickBot="1" x14ac:dyDescent="0.6">
      <c r="A201" s="26">
        <v>9</v>
      </c>
      <c r="D201" s="25" t="s">
        <v>1801</v>
      </c>
    </row>
    <row r="202" spans="1:10" thickTop="1" thickBot="1" x14ac:dyDescent="0.6">
      <c r="A202" s="26">
        <v>10</v>
      </c>
      <c r="B202" s="43">
        <v>1151388</v>
      </c>
      <c r="C202" s="6" t="s">
        <v>2737</v>
      </c>
      <c r="D202" s="25" t="s">
        <v>1801</v>
      </c>
      <c r="E202" s="111">
        <v>756589386</v>
      </c>
      <c r="F202" s="4">
        <v>675382</v>
      </c>
      <c r="G202" s="26">
        <v>1</v>
      </c>
      <c r="H202" s="7">
        <v>45705</v>
      </c>
      <c r="J202" s="4">
        <v>198420201723</v>
      </c>
    </row>
    <row r="203" spans="1:10" thickTop="1" thickBot="1" x14ac:dyDescent="0.6">
      <c r="A203" s="26">
        <v>11</v>
      </c>
      <c r="D203" s="25" t="s">
        <v>1801</v>
      </c>
    </row>
    <row r="204" spans="1:10" thickTop="1" thickBot="1" x14ac:dyDescent="0.6">
      <c r="A204" s="26">
        <v>12</v>
      </c>
      <c r="D204" s="25" t="s">
        <v>1801</v>
      </c>
    </row>
    <row r="205" spans="1:10" thickTop="1" thickBot="1" x14ac:dyDescent="0.6">
      <c r="A205" s="26">
        <v>13</v>
      </c>
      <c r="D205" s="25" t="s">
        <v>1801</v>
      </c>
    </row>
    <row r="206" spans="1:10" thickTop="1" thickBot="1" x14ac:dyDescent="0.6">
      <c r="A206" s="26">
        <v>14</v>
      </c>
      <c r="D206" s="25" t="s">
        <v>1801</v>
      </c>
    </row>
    <row r="207" spans="1:10" thickTop="1" thickBot="1" x14ac:dyDescent="0.6">
      <c r="A207" s="26">
        <v>15</v>
      </c>
      <c r="B207" s="43">
        <v>1150910</v>
      </c>
      <c r="C207" s="6" t="s">
        <v>1806</v>
      </c>
      <c r="D207" s="25" t="s">
        <v>1801</v>
      </c>
      <c r="E207" s="111">
        <v>712246718</v>
      </c>
      <c r="F207" s="4">
        <v>118151</v>
      </c>
      <c r="G207" s="26">
        <v>1</v>
      </c>
      <c r="H207" s="7">
        <v>45627</v>
      </c>
      <c r="J207" s="4" t="s">
        <v>1807</v>
      </c>
    </row>
    <row r="208" spans="1:10" thickTop="1" thickBot="1" x14ac:dyDescent="0.6">
      <c r="A208" s="26">
        <v>16</v>
      </c>
      <c r="D208" s="25" t="s">
        <v>1801</v>
      </c>
    </row>
    <row r="209" spans="1:10" thickTop="1" thickBot="1" x14ac:dyDescent="0.6">
      <c r="A209" s="26">
        <v>17</v>
      </c>
      <c r="B209" s="43">
        <v>1151472</v>
      </c>
      <c r="C209" s="6" t="s">
        <v>3083</v>
      </c>
      <c r="D209" s="25" t="s">
        <v>1801</v>
      </c>
      <c r="E209" s="111">
        <v>758922005</v>
      </c>
      <c r="F209" s="4">
        <v>467079</v>
      </c>
      <c r="G209" s="26">
        <v>1</v>
      </c>
      <c r="H209" s="7">
        <v>45760</v>
      </c>
      <c r="J209" s="4">
        <v>9850200118</v>
      </c>
    </row>
    <row r="210" spans="1:10" thickTop="1" thickBot="1" x14ac:dyDescent="0.6">
      <c r="A210" s="26">
        <v>18</v>
      </c>
      <c r="B210" s="43">
        <v>1151042</v>
      </c>
      <c r="C210" s="6" t="s">
        <v>1808</v>
      </c>
      <c r="D210" s="25" t="s">
        <v>1801</v>
      </c>
      <c r="E210" s="111">
        <v>771751032</v>
      </c>
      <c r="F210" s="4">
        <v>314834</v>
      </c>
      <c r="G210" s="26">
        <v>1</v>
      </c>
      <c r="H210" s="7">
        <v>45595</v>
      </c>
      <c r="J210" s="4" t="s">
        <v>1809</v>
      </c>
    </row>
    <row r="211" spans="1:10" thickTop="1" thickBot="1" x14ac:dyDescent="0.6">
      <c r="A211" s="26">
        <v>19</v>
      </c>
      <c r="D211" s="25" t="s">
        <v>1801</v>
      </c>
    </row>
    <row r="212" spans="1:10" thickTop="1" thickBot="1" x14ac:dyDescent="0.6">
      <c r="A212" s="26">
        <v>20</v>
      </c>
      <c r="D212" s="25" t="s">
        <v>1801</v>
      </c>
    </row>
    <row r="213" spans="1:10" thickTop="1" thickBot="1" x14ac:dyDescent="0.6">
      <c r="A213" s="26">
        <v>21</v>
      </c>
      <c r="D213" s="25" t="s">
        <v>1801</v>
      </c>
    </row>
    <row r="214" spans="1:10" thickTop="1" thickBot="1" x14ac:dyDescent="0.6">
      <c r="A214" s="26">
        <v>22</v>
      </c>
      <c r="D214" s="25" t="s">
        <v>1801</v>
      </c>
    </row>
    <row r="215" spans="1:10" thickTop="1" thickBot="1" x14ac:dyDescent="0.6">
      <c r="A215" s="26">
        <v>23</v>
      </c>
      <c r="B215" s="43">
        <v>1151461</v>
      </c>
      <c r="C215" s="6" t="s">
        <v>2953</v>
      </c>
      <c r="D215" s="25" t="s">
        <v>1801</v>
      </c>
      <c r="F215" s="4">
        <v>652530</v>
      </c>
      <c r="G215" s="26">
        <v>1</v>
      </c>
      <c r="H215" s="7">
        <v>45748</v>
      </c>
    </row>
    <row r="216" spans="1:10" thickTop="1" thickBot="1" x14ac:dyDescent="0.6">
      <c r="A216" s="26">
        <v>24</v>
      </c>
      <c r="D216" s="25" t="s">
        <v>1801</v>
      </c>
    </row>
    <row r="217" spans="1:10" thickTop="1" thickBot="1" x14ac:dyDescent="0.6">
      <c r="A217" s="26">
        <v>25</v>
      </c>
      <c r="D217" s="25" t="s">
        <v>1801</v>
      </c>
    </row>
    <row r="218" spans="1:10" thickTop="1" thickBot="1" x14ac:dyDescent="0.6">
      <c r="A218" s="26">
        <v>26</v>
      </c>
      <c r="D218" s="25" t="s">
        <v>1801</v>
      </c>
    </row>
    <row r="219" spans="1:10" thickTop="1" thickBot="1" x14ac:dyDescent="0.6">
      <c r="A219" s="26">
        <v>27</v>
      </c>
      <c r="B219" s="43">
        <v>1150278</v>
      </c>
      <c r="C219" s="6" t="s">
        <v>1811</v>
      </c>
      <c r="D219" s="25" t="s">
        <v>1801</v>
      </c>
      <c r="E219" s="111">
        <v>771567328</v>
      </c>
      <c r="F219" s="4">
        <v>638747</v>
      </c>
      <c r="G219" s="26">
        <v>1</v>
      </c>
      <c r="J219" s="5">
        <v>197914703675</v>
      </c>
    </row>
    <row r="220" spans="1:10" thickTop="1" thickBot="1" x14ac:dyDescent="0.6">
      <c r="A220" s="26">
        <v>28</v>
      </c>
      <c r="D220" s="25" t="s">
        <v>1801</v>
      </c>
    </row>
    <row r="221" spans="1:10" thickTop="1" thickBot="1" x14ac:dyDescent="0.6">
      <c r="A221" s="26">
        <v>29</v>
      </c>
      <c r="D221" s="25" t="s">
        <v>1801</v>
      </c>
    </row>
    <row r="222" spans="1:10" thickTop="1" thickBot="1" x14ac:dyDescent="0.6">
      <c r="A222" s="26">
        <v>30</v>
      </c>
      <c r="C222" s="6" t="s">
        <v>1812</v>
      </c>
      <c r="D222" s="25" t="s">
        <v>1801</v>
      </c>
      <c r="E222" s="111" t="s">
        <v>1813</v>
      </c>
      <c r="G222" s="26">
        <v>1</v>
      </c>
      <c r="I222" s="7">
        <v>44851</v>
      </c>
      <c r="J222" s="5" t="s">
        <v>1814</v>
      </c>
    </row>
    <row r="223" spans="1:10" thickTop="1" thickBot="1" x14ac:dyDescent="0.6">
      <c r="A223" s="26">
        <v>31</v>
      </c>
      <c r="B223" s="43">
        <v>1151011</v>
      </c>
      <c r="C223" s="6" t="s">
        <v>1815</v>
      </c>
      <c r="D223" s="25" t="s">
        <v>1801</v>
      </c>
      <c r="E223" s="111">
        <v>715657298</v>
      </c>
      <c r="F223" s="4">
        <v>451073</v>
      </c>
      <c r="G223" s="26">
        <v>1</v>
      </c>
      <c r="H223" s="7">
        <v>45592</v>
      </c>
      <c r="J223" s="4" t="s">
        <v>1816</v>
      </c>
    </row>
    <row r="224" spans="1:10" thickTop="1" thickBot="1" x14ac:dyDescent="0.6">
      <c r="A224" s="26">
        <v>32</v>
      </c>
      <c r="B224" s="43">
        <v>1150816</v>
      </c>
      <c r="C224" s="6" t="s">
        <v>1817</v>
      </c>
      <c r="D224" s="25" t="s">
        <v>1801</v>
      </c>
      <c r="E224" s="111">
        <v>753384598</v>
      </c>
      <c r="F224" s="4">
        <v>103427</v>
      </c>
      <c r="G224" s="26">
        <v>1</v>
      </c>
      <c r="H224" s="7">
        <v>45536</v>
      </c>
      <c r="J224" s="4" t="s">
        <v>1818</v>
      </c>
    </row>
    <row r="225" spans="1:10" thickTop="1" thickBot="1" x14ac:dyDescent="0.6">
      <c r="A225" s="26">
        <v>33</v>
      </c>
      <c r="D225" s="25" t="s">
        <v>1801</v>
      </c>
    </row>
    <row r="226" spans="1:10" thickTop="1" thickBot="1" x14ac:dyDescent="0.6">
      <c r="A226" s="26">
        <v>34</v>
      </c>
      <c r="B226" s="43">
        <v>1151305</v>
      </c>
      <c r="C226" s="6" t="s">
        <v>1819</v>
      </c>
      <c r="D226" s="25" t="s">
        <v>1801</v>
      </c>
      <c r="E226" s="111">
        <v>775049919</v>
      </c>
      <c r="F226" s="4">
        <v>379100</v>
      </c>
      <c r="G226" s="26">
        <v>1</v>
      </c>
      <c r="H226" s="7">
        <v>45618</v>
      </c>
      <c r="J226" s="4" t="s">
        <v>1820</v>
      </c>
    </row>
    <row r="227" spans="1:10" thickTop="1" thickBot="1" x14ac:dyDescent="0.6">
      <c r="A227" s="26">
        <v>35</v>
      </c>
      <c r="D227" s="25" t="s">
        <v>1801</v>
      </c>
    </row>
    <row r="228" spans="1:10" thickTop="1" thickBot="1" x14ac:dyDescent="0.6">
      <c r="A228" s="26">
        <v>36</v>
      </c>
      <c r="D228" s="25" t="s">
        <v>1801</v>
      </c>
    </row>
    <row r="229" spans="1:10" thickTop="1" thickBot="1" x14ac:dyDescent="0.6">
      <c r="A229" s="26">
        <v>37</v>
      </c>
      <c r="B229" s="43">
        <v>1150106</v>
      </c>
      <c r="C229" s="6" t="s">
        <v>1821</v>
      </c>
      <c r="D229" s="25" t="s">
        <v>1801</v>
      </c>
      <c r="E229" s="111">
        <v>766153332</v>
      </c>
      <c r="F229" s="4">
        <v>492061</v>
      </c>
      <c r="G229" s="26">
        <v>1</v>
      </c>
      <c r="J229" s="5"/>
    </row>
    <row r="230" spans="1:10" thickTop="1" thickBot="1" x14ac:dyDescent="0.6">
      <c r="A230" s="26">
        <v>38</v>
      </c>
      <c r="B230" s="43">
        <v>1151212</v>
      </c>
      <c r="C230" s="6" t="s">
        <v>2833</v>
      </c>
      <c r="D230" s="25" t="s">
        <v>1801</v>
      </c>
      <c r="E230" s="111">
        <v>711106799</v>
      </c>
      <c r="F230" s="4">
        <v>183080</v>
      </c>
      <c r="G230" s="26">
        <v>1</v>
      </c>
      <c r="H230" s="7">
        <v>45607</v>
      </c>
      <c r="J230" s="4" t="s">
        <v>3441</v>
      </c>
    </row>
    <row r="231" spans="1:10" thickTop="1" thickBot="1" x14ac:dyDescent="0.6">
      <c r="A231" s="26">
        <v>39</v>
      </c>
      <c r="D231" s="25" t="s">
        <v>1801</v>
      </c>
    </row>
    <row r="232" spans="1:10" thickTop="1" thickBot="1" x14ac:dyDescent="0.6">
      <c r="A232" s="26">
        <v>40</v>
      </c>
      <c r="D232" s="25" t="s">
        <v>1801</v>
      </c>
    </row>
    <row r="233" spans="1:10" thickTop="1" thickBot="1" x14ac:dyDescent="0.6">
      <c r="A233" s="26">
        <v>41</v>
      </c>
      <c r="C233" s="6" t="s">
        <v>1822</v>
      </c>
      <c r="D233" s="25" t="s">
        <v>1801</v>
      </c>
      <c r="E233" s="111">
        <v>777215292</v>
      </c>
      <c r="G233" s="26">
        <v>1</v>
      </c>
      <c r="J233" s="5"/>
    </row>
    <row r="234" spans="1:10" thickTop="1" thickBot="1" x14ac:dyDescent="0.6">
      <c r="A234" s="26">
        <v>42</v>
      </c>
      <c r="B234" s="43">
        <v>1150105</v>
      </c>
      <c r="C234" s="6" t="s">
        <v>1823</v>
      </c>
      <c r="D234" s="25" t="s">
        <v>1801</v>
      </c>
      <c r="E234" s="111">
        <v>712182190</v>
      </c>
      <c r="F234" s="4">
        <v>522420</v>
      </c>
      <c r="G234" s="26">
        <v>1</v>
      </c>
      <c r="J234" s="5" t="s">
        <v>1824</v>
      </c>
    </row>
    <row r="235" spans="1:10" thickTop="1" thickBot="1" x14ac:dyDescent="0.6">
      <c r="A235" s="26">
        <v>43</v>
      </c>
      <c r="B235" s="43">
        <v>1150108</v>
      </c>
      <c r="C235" s="6" t="s">
        <v>1825</v>
      </c>
      <c r="D235" s="25" t="s">
        <v>1801</v>
      </c>
      <c r="E235" s="111">
        <v>777396906</v>
      </c>
      <c r="F235" s="4">
        <v>293295</v>
      </c>
      <c r="G235" s="26">
        <v>1</v>
      </c>
      <c r="J235" s="5" t="s">
        <v>1826</v>
      </c>
    </row>
    <row r="236" spans="1:10" thickTop="1" thickBot="1" x14ac:dyDescent="0.6">
      <c r="A236" s="26">
        <v>44</v>
      </c>
      <c r="D236" s="25" t="s">
        <v>1801</v>
      </c>
    </row>
    <row r="237" spans="1:10" thickTop="1" thickBot="1" x14ac:dyDescent="0.6">
      <c r="A237" s="26">
        <v>45</v>
      </c>
      <c r="B237" s="43">
        <v>1150554</v>
      </c>
      <c r="C237" s="6" t="s">
        <v>3022</v>
      </c>
      <c r="D237" s="25" t="s">
        <v>1801</v>
      </c>
      <c r="E237" s="111">
        <v>777517257</v>
      </c>
      <c r="F237" s="4" t="s">
        <v>1827</v>
      </c>
      <c r="G237" s="26">
        <v>1</v>
      </c>
      <c r="H237" s="7">
        <v>45279</v>
      </c>
      <c r="J237" s="4" t="s">
        <v>1828</v>
      </c>
    </row>
    <row r="238" spans="1:10" thickTop="1" thickBot="1" x14ac:dyDescent="0.6">
      <c r="A238" s="26">
        <v>46</v>
      </c>
      <c r="B238" s="43">
        <v>1151276</v>
      </c>
      <c r="C238" s="6" t="s">
        <v>1829</v>
      </c>
      <c r="D238" s="25" t="s">
        <v>1801</v>
      </c>
      <c r="E238" s="111" t="s">
        <v>1830</v>
      </c>
      <c r="F238" s="4">
        <v>328610</v>
      </c>
      <c r="G238" s="26">
        <v>1</v>
      </c>
      <c r="H238" s="7">
        <v>45610</v>
      </c>
    </row>
    <row r="239" spans="1:10" thickTop="1" thickBot="1" x14ac:dyDescent="0.6">
      <c r="A239" s="26">
        <v>47</v>
      </c>
      <c r="B239" s="43">
        <v>1151449</v>
      </c>
      <c r="C239" s="6" t="s">
        <v>2895</v>
      </c>
      <c r="D239" s="25" t="s">
        <v>1801</v>
      </c>
      <c r="E239" s="111" t="s">
        <v>2896</v>
      </c>
      <c r="F239" s="4">
        <v>413529</v>
      </c>
      <c r="G239" s="26">
        <v>1</v>
      </c>
      <c r="H239" s="7">
        <v>45746</v>
      </c>
      <c r="J239" s="4" t="s">
        <v>3005</v>
      </c>
    </row>
    <row r="240" spans="1:10" thickTop="1" thickBot="1" x14ac:dyDescent="0.6">
      <c r="A240" s="26">
        <v>48</v>
      </c>
      <c r="D240" s="25" t="s">
        <v>1801</v>
      </c>
    </row>
    <row r="241" spans="1:10" thickTop="1" thickBot="1" x14ac:dyDescent="0.6">
      <c r="A241" s="26">
        <v>49</v>
      </c>
      <c r="D241" s="25" t="s">
        <v>1801</v>
      </c>
    </row>
    <row r="242" spans="1:10" thickTop="1" thickBot="1" x14ac:dyDescent="0.6">
      <c r="A242" s="26">
        <v>50</v>
      </c>
      <c r="D242" s="25" t="s">
        <v>1801</v>
      </c>
    </row>
    <row r="243" spans="1:10" thickTop="1" thickBot="1" x14ac:dyDescent="0.6">
      <c r="A243" s="26">
        <v>51</v>
      </c>
      <c r="B243" s="43">
        <v>1150449</v>
      </c>
      <c r="C243" s="6" t="s">
        <v>1831</v>
      </c>
      <c r="D243" s="25" t="s">
        <v>1801</v>
      </c>
      <c r="E243" s="111" t="s">
        <v>1832</v>
      </c>
      <c r="F243" s="4">
        <v>158140</v>
      </c>
      <c r="G243" s="26">
        <v>1</v>
      </c>
      <c r="H243" s="7">
        <v>45020</v>
      </c>
      <c r="I243" s="7">
        <v>45020</v>
      </c>
      <c r="J243" s="5" t="s">
        <v>1833</v>
      </c>
    </row>
    <row r="244" spans="1:10" thickTop="1" thickBot="1" x14ac:dyDescent="0.6">
      <c r="A244" s="26">
        <v>52</v>
      </c>
      <c r="B244" s="43">
        <v>1151051</v>
      </c>
      <c r="C244" s="6" t="s">
        <v>1834</v>
      </c>
      <c r="D244" s="25" t="s">
        <v>1801</v>
      </c>
      <c r="E244" s="111">
        <v>515688069</v>
      </c>
      <c r="F244" s="4">
        <v>354244</v>
      </c>
      <c r="G244" s="26">
        <v>1</v>
      </c>
      <c r="H244" s="7">
        <v>45600</v>
      </c>
      <c r="J244" s="4" t="s">
        <v>1835</v>
      </c>
    </row>
    <row r="245" spans="1:10" thickTop="1" thickBot="1" x14ac:dyDescent="0.6">
      <c r="A245" s="26">
        <v>53</v>
      </c>
      <c r="D245" s="25" t="s">
        <v>1801</v>
      </c>
    </row>
    <row r="246" spans="1:10" thickTop="1" thickBot="1" x14ac:dyDescent="0.6">
      <c r="A246" s="26">
        <v>54</v>
      </c>
      <c r="D246" s="25" t="s">
        <v>1801</v>
      </c>
    </row>
    <row r="247" spans="1:10" thickTop="1" thickBot="1" x14ac:dyDescent="0.6">
      <c r="A247" s="26">
        <v>55</v>
      </c>
      <c r="B247" s="43">
        <v>1151232</v>
      </c>
      <c r="C247" s="6" t="s">
        <v>1836</v>
      </c>
      <c r="D247" s="25" t="s">
        <v>1801</v>
      </c>
      <c r="E247" s="111">
        <v>768901510</v>
      </c>
      <c r="F247" s="4">
        <v>383359</v>
      </c>
      <c r="G247" s="26">
        <v>1</v>
      </c>
      <c r="H247" s="7">
        <v>45609</v>
      </c>
      <c r="J247" s="4" t="s">
        <v>3442</v>
      </c>
    </row>
    <row r="248" spans="1:10" thickTop="1" thickBot="1" x14ac:dyDescent="0.6">
      <c r="A248" s="26">
        <v>56</v>
      </c>
      <c r="B248" s="43">
        <v>1150240</v>
      </c>
      <c r="C248" s="6" t="s">
        <v>1837</v>
      </c>
      <c r="D248" s="25" t="s">
        <v>1801</v>
      </c>
      <c r="E248" s="111">
        <v>778177761</v>
      </c>
      <c r="F248" s="4">
        <v>772083</v>
      </c>
      <c r="G248" s="26">
        <v>1</v>
      </c>
      <c r="I248" s="7">
        <v>44399</v>
      </c>
      <c r="J248" s="5">
        <v>200108203108</v>
      </c>
    </row>
    <row r="249" spans="1:10" thickTop="1" thickBot="1" x14ac:dyDescent="0.6">
      <c r="A249" s="26">
        <v>57</v>
      </c>
      <c r="B249" s="43">
        <v>1150103</v>
      </c>
      <c r="C249" s="6" t="s">
        <v>1838</v>
      </c>
      <c r="D249" s="25" t="s">
        <v>1801</v>
      </c>
      <c r="E249" s="111">
        <v>774317126</v>
      </c>
      <c r="F249" s="4">
        <v>652037</v>
      </c>
      <c r="G249" s="26">
        <v>1</v>
      </c>
      <c r="I249" s="7">
        <v>44767</v>
      </c>
      <c r="J249" s="5" t="s">
        <v>1839</v>
      </c>
    </row>
    <row r="250" spans="1:10" thickTop="1" thickBot="1" x14ac:dyDescent="0.6">
      <c r="A250" s="26">
        <v>58</v>
      </c>
      <c r="B250" s="43">
        <v>1150955</v>
      </c>
      <c r="C250" s="6" t="s">
        <v>1840</v>
      </c>
      <c r="D250" s="25" t="s">
        <v>1801</v>
      </c>
      <c r="E250" s="111">
        <v>776519576</v>
      </c>
      <c r="F250" s="4">
        <v>130222</v>
      </c>
      <c r="G250" s="26">
        <v>1</v>
      </c>
      <c r="H250" s="7">
        <v>45583</v>
      </c>
      <c r="J250" s="4" t="s">
        <v>1841</v>
      </c>
    </row>
    <row r="251" spans="1:10" thickTop="1" thickBot="1" x14ac:dyDescent="0.6">
      <c r="A251" s="26">
        <v>59</v>
      </c>
      <c r="D251" s="25" t="s">
        <v>1801</v>
      </c>
    </row>
    <row r="252" spans="1:10" thickTop="1" thickBot="1" x14ac:dyDescent="0.6">
      <c r="A252" s="26">
        <v>60</v>
      </c>
      <c r="D252" s="25" t="s">
        <v>1801</v>
      </c>
    </row>
    <row r="253" spans="1:10" thickTop="1" thickBot="1" x14ac:dyDescent="0.6">
      <c r="A253" s="26">
        <v>1</v>
      </c>
      <c r="B253" s="43">
        <v>1150218</v>
      </c>
      <c r="C253" s="6" t="s">
        <v>1842</v>
      </c>
      <c r="D253" s="25" t="s">
        <v>1843</v>
      </c>
      <c r="E253" s="111">
        <v>717286392</v>
      </c>
      <c r="F253" s="4">
        <v>797627</v>
      </c>
      <c r="G253" s="26">
        <v>1</v>
      </c>
      <c r="H253" s="7">
        <v>45601</v>
      </c>
      <c r="J253" s="5" t="s">
        <v>3444</v>
      </c>
    </row>
    <row r="254" spans="1:10" thickTop="1" thickBot="1" x14ac:dyDescent="0.6">
      <c r="A254" s="26">
        <v>2</v>
      </c>
      <c r="D254" s="25" t="s">
        <v>1843</v>
      </c>
      <c r="J254" s="5"/>
    </row>
    <row r="255" spans="1:10" thickTop="1" thickBot="1" x14ac:dyDescent="0.6">
      <c r="A255" s="26">
        <v>3</v>
      </c>
      <c r="D255" s="25" t="s">
        <v>1843</v>
      </c>
      <c r="J255" s="5"/>
    </row>
    <row r="256" spans="1:10" thickTop="1" thickBot="1" x14ac:dyDescent="0.6">
      <c r="A256" s="26">
        <v>4</v>
      </c>
      <c r="B256" s="43">
        <v>1151526</v>
      </c>
      <c r="C256" s="6" t="s">
        <v>3133</v>
      </c>
      <c r="D256" s="25" t="s">
        <v>1843</v>
      </c>
      <c r="E256" s="111" t="s">
        <v>3134</v>
      </c>
      <c r="F256" s="4">
        <v>614803</v>
      </c>
      <c r="G256" s="26">
        <v>1</v>
      </c>
      <c r="H256" s="7">
        <v>45816</v>
      </c>
      <c r="J256" s="5" t="s">
        <v>3135</v>
      </c>
    </row>
    <row r="257" spans="1:10" thickTop="1" thickBot="1" x14ac:dyDescent="0.6">
      <c r="A257" s="26">
        <v>5</v>
      </c>
      <c r="B257" s="43">
        <v>1150158</v>
      </c>
      <c r="C257" s="6" t="s">
        <v>1844</v>
      </c>
      <c r="D257" s="25" t="s">
        <v>1843</v>
      </c>
      <c r="F257" s="4">
        <v>272786</v>
      </c>
      <c r="G257" s="26">
        <v>1</v>
      </c>
      <c r="J257" s="5" t="s">
        <v>1845</v>
      </c>
    </row>
    <row r="258" spans="1:10" thickTop="1" thickBot="1" x14ac:dyDescent="0.6">
      <c r="A258" s="26">
        <v>6</v>
      </c>
      <c r="B258" s="43">
        <v>1150200</v>
      </c>
      <c r="C258" s="6" t="s">
        <v>1846</v>
      </c>
      <c r="D258" s="25" t="s">
        <v>1843</v>
      </c>
      <c r="E258" s="111">
        <v>776302521</v>
      </c>
      <c r="F258" s="4">
        <v>275029</v>
      </c>
      <c r="G258" s="26">
        <v>1</v>
      </c>
      <c r="J258" s="5" t="s">
        <v>1847</v>
      </c>
    </row>
    <row r="259" spans="1:10" thickTop="1" thickBot="1" x14ac:dyDescent="0.6">
      <c r="A259" s="26">
        <v>7</v>
      </c>
      <c r="B259" s="43">
        <v>1151467</v>
      </c>
      <c r="C259" s="6" t="s">
        <v>2958</v>
      </c>
      <c r="D259" s="25" t="s">
        <v>1843</v>
      </c>
      <c r="E259" s="111">
        <v>776936604</v>
      </c>
      <c r="F259" s="4">
        <v>582549</v>
      </c>
      <c r="G259" s="26">
        <v>1</v>
      </c>
      <c r="H259" s="7">
        <v>45756</v>
      </c>
      <c r="J259" s="5">
        <v>198324202932</v>
      </c>
    </row>
    <row r="260" spans="1:10" thickTop="1" thickBot="1" x14ac:dyDescent="0.6">
      <c r="A260" s="26">
        <v>8</v>
      </c>
      <c r="B260" s="43">
        <v>1150157</v>
      </c>
      <c r="C260" s="6" t="s">
        <v>1643</v>
      </c>
      <c r="D260" s="25" t="s">
        <v>1843</v>
      </c>
      <c r="E260" s="111">
        <v>761758077</v>
      </c>
      <c r="F260" s="4">
        <v>251780</v>
      </c>
      <c r="G260" s="26">
        <v>1</v>
      </c>
      <c r="J260" s="5" t="s">
        <v>1848</v>
      </c>
    </row>
    <row r="261" spans="1:10" thickTop="1" thickBot="1" x14ac:dyDescent="0.6">
      <c r="A261" s="26">
        <v>9</v>
      </c>
      <c r="B261" s="43">
        <v>1151316</v>
      </c>
      <c r="C261" s="6" t="s">
        <v>1849</v>
      </c>
      <c r="D261" s="25" t="s">
        <v>1843</v>
      </c>
      <c r="E261" s="111" t="s">
        <v>1850</v>
      </c>
      <c r="F261" s="4">
        <v>181019</v>
      </c>
      <c r="G261" s="26">
        <v>1</v>
      </c>
      <c r="H261" s="7">
        <v>45622</v>
      </c>
      <c r="I261" s="7">
        <v>45012</v>
      </c>
      <c r="J261" s="5" t="s">
        <v>1851</v>
      </c>
    </row>
    <row r="262" spans="1:10" thickTop="1" thickBot="1" x14ac:dyDescent="0.6">
      <c r="A262" s="26">
        <v>10</v>
      </c>
      <c r="D262" s="25" t="s">
        <v>1843</v>
      </c>
      <c r="J262" s="5"/>
    </row>
    <row r="263" spans="1:10" thickTop="1" thickBot="1" x14ac:dyDescent="0.6">
      <c r="A263" s="26">
        <v>11</v>
      </c>
      <c r="B263" s="43">
        <v>1150156</v>
      </c>
      <c r="C263" s="6" t="s">
        <v>1852</v>
      </c>
      <c r="D263" s="25" t="s">
        <v>1843</v>
      </c>
      <c r="E263" s="111" t="s">
        <v>1853</v>
      </c>
      <c r="F263" s="4">
        <v>521745</v>
      </c>
      <c r="G263" s="26">
        <v>1</v>
      </c>
      <c r="J263" s="5" t="s">
        <v>1854</v>
      </c>
    </row>
    <row r="264" spans="1:10" thickTop="1" thickBot="1" x14ac:dyDescent="0.6">
      <c r="A264" s="26">
        <v>12</v>
      </c>
      <c r="B264" s="43">
        <v>1150145</v>
      </c>
      <c r="C264" s="6" t="s">
        <v>1855</v>
      </c>
      <c r="D264" s="25" t="s">
        <v>1843</v>
      </c>
      <c r="E264" s="111">
        <v>767760798</v>
      </c>
      <c r="F264" s="4">
        <v>494307</v>
      </c>
      <c r="G264" s="26">
        <v>1</v>
      </c>
      <c r="J264" s="5" t="s">
        <v>1856</v>
      </c>
    </row>
    <row r="265" spans="1:10" thickTop="1" thickBot="1" x14ac:dyDescent="0.6">
      <c r="A265" s="26">
        <v>13</v>
      </c>
      <c r="B265" s="43">
        <v>1150146</v>
      </c>
      <c r="C265" s="6" t="s">
        <v>1857</v>
      </c>
      <c r="D265" s="25" t="s">
        <v>1843</v>
      </c>
      <c r="E265" s="111">
        <v>768700946</v>
      </c>
      <c r="F265" s="4">
        <v>282785</v>
      </c>
      <c r="G265" s="26">
        <v>1</v>
      </c>
      <c r="J265" s="5" t="s">
        <v>1858</v>
      </c>
    </row>
    <row r="266" spans="1:10" thickTop="1" thickBot="1" x14ac:dyDescent="0.6">
      <c r="A266" s="26">
        <v>14</v>
      </c>
      <c r="D266" s="25" t="s">
        <v>1843</v>
      </c>
      <c r="J266" s="5"/>
    </row>
    <row r="267" spans="1:10" thickTop="1" thickBot="1" x14ac:dyDescent="0.6">
      <c r="A267" s="26">
        <v>15</v>
      </c>
      <c r="B267" s="43">
        <v>1150152</v>
      </c>
      <c r="C267" s="6" t="s">
        <v>1859</v>
      </c>
      <c r="D267" s="25" t="s">
        <v>1843</v>
      </c>
      <c r="E267" s="111">
        <v>771446096</v>
      </c>
      <c r="F267" s="4">
        <v>507652</v>
      </c>
      <c r="G267" s="26">
        <v>1</v>
      </c>
      <c r="J267" s="5" t="s">
        <v>1860</v>
      </c>
    </row>
    <row r="268" spans="1:10" thickTop="1" thickBot="1" x14ac:dyDescent="0.6">
      <c r="A268" s="26">
        <v>16</v>
      </c>
      <c r="D268" s="25" t="s">
        <v>1843</v>
      </c>
      <c r="J268" s="5"/>
    </row>
    <row r="269" spans="1:10" thickTop="1" thickBot="1" x14ac:dyDescent="0.6">
      <c r="A269" s="26">
        <v>17</v>
      </c>
      <c r="B269" s="43">
        <v>1151527</v>
      </c>
      <c r="C269" s="6" t="s">
        <v>3138</v>
      </c>
      <c r="D269" s="25" t="s">
        <v>1843</v>
      </c>
      <c r="E269" s="111">
        <v>774987475</v>
      </c>
      <c r="F269" s="4">
        <v>472269</v>
      </c>
      <c r="G269" s="26">
        <v>1</v>
      </c>
      <c r="H269" s="7">
        <v>45816</v>
      </c>
      <c r="J269" s="5">
        <v>196214701988</v>
      </c>
    </row>
    <row r="270" spans="1:10" thickTop="1" thickBot="1" x14ac:dyDescent="0.6">
      <c r="A270" s="26">
        <v>18</v>
      </c>
      <c r="B270" s="43">
        <v>1150755</v>
      </c>
      <c r="C270" s="6" t="s">
        <v>1861</v>
      </c>
      <c r="D270" s="25" t="s">
        <v>1843</v>
      </c>
      <c r="E270" s="111">
        <v>717771139</v>
      </c>
      <c r="F270" s="4">
        <v>641320</v>
      </c>
      <c r="G270" s="26">
        <v>1</v>
      </c>
      <c r="H270" s="7">
        <v>45579</v>
      </c>
      <c r="J270" s="5" t="s">
        <v>1862</v>
      </c>
    </row>
    <row r="271" spans="1:10" thickTop="1" thickBot="1" x14ac:dyDescent="0.6">
      <c r="A271" s="26">
        <v>19</v>
      </c>
      <c r="D271" s="25" t="s">
        <v>1843</v>
      </c>
      <c r="J271" s="5"/>
    </row>
    <row r="272" spans="1:10" thickTop="1" thickBot="1" x14ac:dyDescent="0.6">
      <c r="A272" s="26">
        <v>20</v>
      </c>
      <c r="B272" s="43">
        <v>1150150</v>
      </c>
      <c r="C272" s="6" t="s">
        <v>1863</v>
      </c>
      <c r="D272" s="25" t="s">
        <v>1843</v>
      </c>
      <c r="E272" s="111">
        <v>513513463</v>
      </c>
      <c r="F272" s="4">
        <v>538624</v>
      </c>
      <c r="G272" s="26">
        <v>1</v>
      </c>
      <c r="J272" s="5" t="s">
        <v>1864</v>
      </c>
    </row>
    <row r="273" spans="1:10" thickTop="1" thickBot="1" x14ac:dyDescent="0.6">
      <c r="A273" s="26">
        <v>21</v>
      </c>
      <c r="B273" s="43">
        <v>1150206</v>
      </c>
      <c r="C273" s="6" t="s">
        <v>1865</v>
      </c>
      <c r="D273" s="25" t="s">
        <v>1843</v>
      </c>
      <c r="F273" s="4">
        <v>677910</v>
      </c>
      <c r="G273" s="26">
        <v>1</v>
      </c>
      <c r="J273" s="5" t="s">
        <v>1866</v>
      </c>
    </row>
    <row r="274" spans="1:10" thickTop="1" thickBot="1" x14ac:dyDescent="0.6">
      <c r="A274" s="26">
        <v>22</v>
      </c>
      <c r="B274" s="43">
        <v>1150165</v>
      </c>
      <c r="C274" s="6" t="s">
        <v>1867</v>
      </c>
      <c r="D274" s="25" t="s">
        <v>1843</v>
      </c>
      <c r="E274" s="111">
        <v>774570783</v>
      </c>
      <c r="F274" s="4">
        <v>233028</v>
      </c>
      <c r="G274" s="26">
        <v>1</v>
      </c>
      <c r="J274" s="5">
        <v>197205803704</v>
      </c>
    </row>
    <row r="275" spans="1:10" thickTop="1" thickBot="1" x14ac:dyDescent="0.6">
      <c r="A275" s="26">
        <v>23</v>
      </c>
      <c r="B275" s="43">
        <v>1150155</v>
      </c>
      <c r="C275" s="6" t="s">
        <v>1868</v>
      </c>
      <c r="D275" s="25" t="s">
        <v>1843</v>
      </c>
      <c r="E275" s="111">
        <v>514908395</v>
      </c>
      <c r="F275" s="4">
        <v>607353</v>
      </c>
      <c r="G275" s="26">
        <v>1</v>
      </c>
      <c r="J275" s="5" t="s">
        <v>1869</v>
      </c>
    </row>
    <row r="276" spans="1:10" thickTop="1" thickBot="1" x14ac:dyDescent="0.6">
      <c r="A276" s="26">
        <v>24</v>
      </c>
      <c r="D276" s="25" t="s">
        <v>1843</v>
      </c>
      <c r="J276" s="5"/>
    </row>
    <row r="277" spans="1:10" thickTop="1" thickBot="1" x14ac:dyDescent="0.6">
      <c r="A277" s="26">
        <v>25</v>
      </c>
      <c r="B277" s="43">
        <v>1150511</v>
      </c>
      <c r="C277" s="6" t="s">
        <v>1870</v>
      </c>
      <c r="D277" s="25" t="s">
        <v>1843</v>
      </c>
      <c r="E277" s="111">
        <v>768438464</v>
      </c>
      <c r="F277" s="4">
        <v>276654</v>
      </c>
      <c r="G277" s="26">
        <v>1</v>
      </c>
      <c r="I277" s="7">
        <v>45216</v>
      </c>
      <c r="J277" s="5" t="s">
        <v>1871</v>
      </c>
    </row>
    <row r="278" spans="1:10" thickTop="1" thickBot="1" x14ac:dyDescent="0.6">
      <c r="A278" s="26">
        <v>26</v>
      </c>
      <c r="B278" s="43">
        <v>1151151</v>
      </c>
      <c r="C278" s="6" t="s">
        <v>1872</v>
      </c>
      <c r="D278" s="25" t="s">
        <v>1843</v>
      </c>
      <c r="E278" s="111">
        <v>779007363</v>
      </c>
      <c r="F278" s="4">
        <v>201080</v>
      </c>
      <c r="G278" s="26">
        <v>1</v>
      </c>
      <c r="H278" s="7">
        <v>45605</v>
      </c>
      <c r="J278" s="5" t="s">
        <v>1873</v>
      </c>
    </row>
    <row r="279" spans="1:10" thickTop="1" thickBot="1" x14ac:dyDescent="0.6">
      <c r="A279" s="26">
        <v>27</v>
      </c>
      <c r="B279" s="43">
        <v>1151130</v>
      </c>
      <c r="C279" s="6" t="s">
        <v>1874</v>
      </c>
      <c r="D279" s="25" t="s">
        <v>1843</v>
      </c>
      <c r="E279" s="111">
        <v>768599695</v>
      </c>
      <c r="F279" s="4">
        <v>301435</v>
      </c>
      <c r="G279" s="26">
        <v>1</v>
      </c>
      <c r="H279" s="7">
        <v>45604</v>
      </c>
      <c r="J279" s="5" t="s">
        <v>1875</v>
      </c>
    </row>
    <row r="280" spans="1:10" thickTop="1" thickBot="1" x14ac:dyDescent="0.6">
      <c r="A280" s="26">
        <v>28</v>
      </c>
      <c r="B280" s="43">
        <v>1150325</v>
      </c>
      <c r="C280" s="6" t="s">
        <v>1876</v>
      </c>
      <c r="D280" s="25" t="s">
        <v>1843</v>
      </c>
      <c r="E280" s="111">
        <v>778067646</v>
      </c>
      <c r="F280" s="4">
        <v>703609</v>
      </c>
      <c r="G280" s="26">
        <v>1</v>
      </c>
      <c r="J280" s="5">
        <v>196418501124</v>
      </c>
    </row>
    <row r="281" spans="1:10" thickTop="1" thickBot="1" x14ac:dyDescent="0.6">
      <c r="A281" s="26">
        <v>29</v>
      </c>
      <c r="D281" s="25" t="s">
        <v>1843</v>
      </c>
      <c r="J281" s="5"/>
    </row>
    <row r="282" spans="1:10" thickTop="1" thickBot="1" x14ac:dyDescent="0.6">
      <c r="A282" s="26">
        <v>30</v>
      </c>
      <c r="C282" s="6" t="s">
        <v>1877</v>
      </c>
      <c r="D282" s="25" t="s">
        <v>1843</v>
      </c>
      <c r="E282" s="111">
        <v>756728183</v>
      </c>
      <c r="F282" s="4">
        <v>491774</v>
      </c>
      <c r="G282" s="26">
        <v>1</v>
      </c>
      <c r="J282" s="5">
        <v>898052125</v>
      </c>
    </row>
    <row r="283" spans="1:10" thickTop="1" thickBot="1" x14ac:dyDescent="0.6">
      <c r="A283" s="26">
        <v>31</v>
      </c>
      <c r="B283" s="43">
        <v>1150167</v>
      </c>
      <c r="C283" s="6" t="s">
        <v>1794</v>
      </c>
      <c r="D283" s="25" t="s">
        <v>1843</v>
      </c>
      <c r="E283" s="111">
        <v>717608022</v>
      </c>
      <c r="F283" s="4">
        <v>268008</v>
      </c>
      <c r="G283" s="26">
        <v>1</v>
      </c>
      <c r="J283" s="5" t="s">
        <v>1878</v>
      </c>
    </row>
    <row r="284" spans="1:10" thickTop="1" thickBot="1" x14ac:dyDescent="0.6">
      <c r="A284" s="26">
        <v>32</v>
      </c>
      <c r="B284" s="43">
        <v>1151194</v>
      </c>
      <c r="C284" s="6" t="s">
        <v>1879</v>
      </c>
      <c r="D284" s="25" t="s">
        <v>1843</v>
      </c>
      <c r="E284" s="111">
        <v>775097864</v>
      </c>
      <c r="F284" s="4">
        <v>277155</v>
      </c>
      <c r="G284" s="26">
        <v>1</v>
      </c>
      <c r="H284" s="7">
        <v>45606</v>
      </c>
      <c r="J284" s="5" t="s">
        <v>1880</v>
      </c>
    </row>
    <row r="285" spans="1:10" thickTop="1" thickBot="1" x14ac:dyDescent="0.6">
      <c r="A285" s="26">
        <v>33</v>
      </c>
      <c r="B285" s="43">
        <v>1150957</v>
      </c>
      <c r="C285" s="6" t="s">
        <v>1881</v>
      </c>
      <c r="D285" s="25" t="s">
        <v>1843</v>
      </c>
      <c r="E285" s="111">
        <v>771905952</v>
      </c>
      <c r="F285" s="4">
        <v>257413</v>
      </c>
      <c r="G285" s="26">
        <v>1</v>
      </c>
      <c r="H285" s="7">
        <v>45583</v>
      </c>
      <c r="J285" s="5" t="s">
        <v>1882</v>
      </c>
    </row>
    <row r="286" spans="1:10" thickTop="1" thickBot="1" x14ac:dyDescent="0.6">
      <c r="A286" s="26">
        <v>34</v>
      </c>
      <c r="D286" s="25" t="s">
        <v>1843</v>
      </c>
      <c r="J286" s="5"/>
    </row>
    <row r="287" spans="1:10" thickTop="1" thickBot="1" x14ac:dyDescent="0.6">
      <c r="A287" s="26">
        <v>35</v>
      </c>
      <c r="D287" s="25" t="s">
        <v>1843</v>
      </c>
      <c r="J287" s="5"/>
    </row>
    <row r="288" spans="1:10" thickTop="1" thickBot="1" x14ac:dyDescent="0.6">
      <c r="A288" s="26">
        <v>36</v>
      </c>
      <c r="D288" s="25" t="s">
        <v>1843</v>
      </c>
      <c r="J288" s="5"/>
    </row>
    <row r="289" spans="1:10" thickTop="1" thickBot="1" x14ac:dyDescent="0.6">
      <c r="A289" s="26">
        <v>37</v>
      </c>
      <c r="B289" s="43">
        <v>1150164</v>
      </c>
      <c r="C289" s="6" t="s">
        <v>1883</v>
      </c>
      <c r="D289" s="25" t="s">
        <v>1843</v>
      </c>
      <c r="E289" s="111" t="s">
        <v>1884</v>
      </c>
      <c r="F289" s="4">
        <v>266101</v>
      </c>
      <c r="G289" s="26">
        <v>1</v>
      </c>
      <c r="J289" s="5">
        <v>199286602772</v>
      </c>
    </row>
    <row r="290" spans="1:10" thickTop="1" thickBot="1" x14ac:dyDescent="0.6">
      <c r="A290" s="26">
        <v>38</v>
      </c>
      <c r="B290" s="43">
        <v>1151211</v>
      </c>
      <c r="C290" s="6" t="s">
        <v>1885</v>
      </c>
      <c r="D290" s="25" t="s">
        <v>1843</v>
      </c>
      <c r="E290" s="111">
        <v>771706686</v>
      </c>
      <c r="F290" s="4">
        <v>174071</v>
      </c>
      <c r="G290" s="26">
        <v>1</v>
      </c>
      <c r="H290" s="7">
        <v>45607</v>
      </c>
      <c r="J290" s="5" t="s">
        <v>1886</v>
      </c>
    </row>
    <row r="291" spans="1:10" thickTop="1" thickBot="1" x14ac:dyDescent="0.6">
      <c r="A291" s="26">
        <v>39</v>
      </c>
      <c r="D291" s="25" t="s">
        <v>1843</v>
      </c>
      <c r="J291" s="5"/>
    </row>
    <row r="292" spans="1:10" thickTop="1" thickBot="1" x14ac:dyDescent="0.6">
      <c r="A292" s="26">
        <v>40</v>
      </c>
      <c r="D292" s="25" t="s">
        <v>1843</v>
      </c>
      <c r="J292" s="5"/>
    </row>
    <row r="293" spans="1:10" thickTop="1" thickBot="1" x14ac:dyDescent="0.6">
      <c r="A293" s="26">
        <v>41</v>
      </c>
      <c r="B293" s="43">
        <v>1151409</v>
      </c>
      <c r="C293" s="6" t="s">
        <v>3293</v>
      </c>
      <c r="D293" s="25" t="s">
        <v>1843</v>
      </c>
      <c r="E293" s="111">
        <v>770077874</v>
      </c>
      <c r="F293" s="4">
        <v>592181</v>
      </c>
      <c r="G293" s="26">
        <v>1</v>
      </c>
      <c r="J293" s="5" t="s">
        <v>3294</v>
      </c>
    </row>
    <row r="294" spans="1:10" thickTop="1" thickBot="1" x14ac:dyDescent="0.6">
      <c r="A294" s="26">
        <v>42</v>
      </c>
      <c r="D294" s="25" t="s">
        <v>1843</v>
      </c>
      <c r="J294" s="5"/>
    </row>
    <row r="295" spans="1:10" thickTop="1" thickBot="1" x14ac:dyDescent="0.6">
      <c r="A295" s="26">
        <v>43</v>
      </c>
      <c r="B295" s="43">
        <v>1150197</v>
      </c>
      <c r="C295" s="6" t="s">
        <v>2994</v>
      </c>
      <c r="D295" s="25" t="s">
        <v>1843</v>
      </c>
      <c r="F295" s="4">
        <v>253901</v>
      </c>
      <c r="G295" s="26">
        <v>1</v>
      </c>
      <c r="J295" s="5" t="s">
        <v>1887</v>
      </c>
    </row>
    <row r="296" spans="1:10" thickTop="1" thickBot="1" x14ac:dyDescent="0.6">
      <c r="A296" s="26">
        <v>44</v>
      </c>
      <c r="D296" s="25" t="s">
        <v>1843</v>
      </c>
      <c r="J296" s="5"/>
    </row>
    <row r="297" spans="1:10" thickTop="1" thickBot="1" x14ac:dyDescent="0.6">
      <c r="A297" s="26">
        <v>45</v>
      </c>
      <c r="D297" s="25" t="s">
        <v>1843</v>
      </c>
      <c r="J297" s="5"/>
    </row>
    <row r="298" spans="1:10" thickTop="1" thickBot="1" x14ac:dyDescent="0.6">
      <c r="A298" s="26">
        <v>46</v>
      </c>
      <c r="D298" s="25" t="s">
        <v>1843</v>
      </c>
      <c r="J298" s="5"/>
    </row>
    <row r="299" spans="1:10" thickTop="1" thickBot="1" x14ac:dyDescent="0.6">
      <c r="A299" s="26">
        <v>47</v>
      </c>
      <c r="D299" s="25" t="s">
        <v>1843</v>
      </c>
      <c r="J299" s="5"/>
    </row>
    <row r="300" spans="1:10" thickTop="1" thickBot="1" x14ac:dyDescent="0.6">
      <c r="A300" s="26">
        <v>48</v>
      </c>
      <c r="D300" s="25" t="s">
        <v>1843</v>
      </c>
      <c r="J300" s="5"/>
    </row>
    <row r="301" spans="1:10" thickTop="1" thickBot="1" x14ac:dyDescent="0.6">
      <c r="A301" s="26">
        <v>49</v>
      </c>
      <c r="B301" s="43">
        <v>1150196</v>
      </c>
      <c r="C301" s="6" t="s">
        <v>1888</v>
      </c>
      <c r="D301" s="25" t="s">
        <v>1843</v>
      </c>
      <c r="E301" s="111">
        <v>779936400</v>
      </c>
      <c r="F301" s="4">
        <v>693305</v>
      </c>
      <c r="G301" s="26">
        <v>1</v>
      </c>
      <c r="J301" s="5" t="s">
        <v>1889</v>
      </c>
    </row>
    <row r="302" spans="1:10" thickTop="1" thickBot="1" x14ac:dyDescent="0.6">
      <c r="A302" s="26">
        <v>50</v>
      </c>
      <c r="D302" s="25" t="s">
        <v>1843</v>
      </c>
      <c r="J302" s="5"/>
    </row>
    <row r="303" spans="1:10" thickTop="1" thickBot="1" x14ac:dyDescent="0.6">
      <c r="A303" s="26">
        <v>51</v>
      </c>
      <c r="B303" s="43">
        <v>1150649</v>
      </c>
      <c r="C303" s="6" t="s">
        <v>1890</v>
      </c>
      <c r="D303" s="25" t="s">
        <v>1843</v>
      </c>
      <c r="E303" s="111">
        <v>762633859</v>
      </c>
      <c r="F303" s="4">
        <v>130552</v>
      </c>
      <c r="G303" s="26">
        <v>1</v>
      </c>
      <c r="H303" s="7">
        <v>45387</v>
      </c>
      <c r="J303" s="5" t="s">
        <v>1891</v>
      </c>
    </row>
    <row r="304" spans="1:10" thickTop="1" thickBot="1" x14ac:dyDescent="0.6">
      <c r="A304" s="26">
        <v>52</v>
      </c>
      <c r="D304" s="25" t="s">
        <v>1843</v>
      </c>
      <c r="J304" s="5"/>
    </row>
    <row r="305" spans="1:10" thickTop="1" thickBot="1" x14ac:dyDescent="0.6">
      <c r="A305" s="26">
        <v>53</v>
      </c>
      <c r="D305" s="25" t="s">
        <v>1843</v>
      </c>
      <c r="J305" s="5"/>
    </row>
    <row r="306" spans="1:10" thickTop="1" thickBot="1" x14ac:dyDescent="0.6">
      <c r="A306" s="26">
        <v>54</v>
      </c>
      <c r="B306" s="43">
        <v>1151566</v>
      </c>
      <c r="C306" s="6" t="s">
        <v>3309</v>
      </c>
      <c r="D306" s="25" t="s">
        <v>1843</v>
      </c>
      <c r="E306" s="111">
        <v>776059761</v>
      </c>
      <c r="F306" s="4">
        <v>648884</v>
      </c>
      <c r="G306" s="26">
        <v>1</v>
      </c>
      <c r="H306" s="7">
        <v>45875</v>
      </c>
      <c r="J306" s="5"/>
    </row>
    <row r="307" spans="1:10" thickTop="1" thickBot="1" x14ac:dyDescent="0.6">
      <c r="A307" s="26">
        <v>55</v>
      </c>
      <c r="B307" s="43">
        <v>1150202</v>
      </c>
      <c r="C307" s="6" t="s">
        <v>1892</v>
      </c>
      <c r="D307" s="25" t="s">
        <v>1843</v>
      </c>
      <c r="E307" s="111">
        <v>772822713</v>
      </c>
      <c r="F307" s="4">
        <v>261268</v>
      </c>
      <c r="G307" s="26">
        <v>1</v>
      </c>
      <c r="J307" s="5" t="s">
        <v>1893</v>
      </c>
    </row>
    <row r="308" spans="1:10" thickTop="1" thickBot="1" x14ac:dyDescent="0.6">
      <c r="A308" s="26">
        <v>56</v>
      </c>
      <c r="B308" s="43">
        <v>1150162</v>
      </c>
      <c r="C308" s="6" t="s">
        <v>1894</v>
      </c>
      <c r="D308" s="25" t="s">
        <v>1843</v>
      </c>
      <c r="F308" s="4">
        <v>707725</v>
      </c>
      <c r="G308" s="26">
        <v>1</v>
      </c>
      <c r="J308" s="5" t="s">
        <v>1895</v>
      </c>
    </row>
    <row r="309" spans="1:10" thickTop="1" thickBot="1" x14ac:dyDescent="0.6">
      <c r="A309" s="26">
        <v>57</v>
      </c>
      <c r="D309" s="25" t="s">
        <v>1843</v>
      </c>
      <c r="J309" s="5"/>
    </row>
    <row r="310" spans="1:10" thickTop="1" thickBot="1" x14ac:dyDescent="0.6">
      <c r="A310" s="26">
        <v>58</v>
      </c>
      <c r="D310" s="25" t="s">
        <v>1843</v>
      </c>
      <c r="J310" s="5"/>
    </row>
    <row r="311" spans="1:10" thickTop="1" thickBot="1" x14ac:dyDescent="0.6">
      <c r="A311" s="26">
        <v>59</v>
      </c>
      <c r="D311" s="25" t="s">
        <v>1843</v>
      </c>
      <c r="J311" s="5"/>
    </row>
    <row r="312" spans="1:10" thickTop="1" thickBot="1" x14ac:dyDescent="0.6">
      <c r="A312" s="26">
        <v>60</v>
      </c>
      <c r="B312" s="43">
        <v>1150208</v>
      </c>
      <c r="C312" s="6" t="s">
        <v>1896</v>
      </c>
      <c r="D312" s="25" t="s">
        <v>1843</v>
      </c>
      <c r="E312" s="111" t="s">
        <v>1897</v>
      </c>
      <c r="F312" s="4">
        <v>514245</v>
      </c>
      <c r="G312" s="26">
        <v>1</v>
      </c>
      <c r="J312" s="5" t="s">
        <v>1898</v>
      </c>
    </row>
    <row r="313" spans="1:10" thickTop="1" thickBot="1" x14ac:dyDescent="0.6">
      <c r="A313" s="26">
        <v>61</v>
      </c>
      <c r="B313" s="43">
        <v>1150209</v>
      </c>
      <c r="C313" s="6" t="s">
        <v>1899</v>
      </c>
      <c r="D313" s="25" t="s">
        <v>1843</v>
      </c>
      <c r="E313" s="111">
        <v>770093913</v>
      </c>
      <c r="F313" s="4">
        <v>502794</v>
      </c>
      <c r="G313" s="26">
        <v>1</v>
      </c>
      <c r="J313" s="5" t="s">
        <v>1900</v>
      </c>
    </row>
    <row r="314" spans="1:10" thickTop="1" thickBot="1" x14ac:dyDescent="0.6">
      <c r="A314" s="26">
        <v>62</v>
      </c>
      <c r="B314" s="43">
        <v>1150965</v>
      </c>
      <c r="C314" s="6" t="s">
        <v>1901</v>
      </c>
      <c r="D314" s="25" t="s">
        <v>1843</v>
      </c>
      <c r="E314" s="111">
        <v>740565888</v>
      </c>
      <c r="F314" s="4">
        <v>323009</v>
      </c>
      <c r="G314" s="26">
        <v>1</v>
      </c>
      <c r="H314" s="7">
        <v>45586</v>
      </c>
      <c r="J314" s="5" t="s">
        <v>1902</v>
      </c>
    </row>
    <row r="315" spans="1:10" thickTop="1" thickBot="1" x14ac:dyDescent="0.6">
      <c r="A315" s="26">
        <v>63</v>
      </c>
      <c r="B315" s="43">
        <v>1150950</v>
      </c>
      <c r="C315" s="6" t="s">
        <v>1903</v>
      </c>
      <c r="D315" s="25" t="s">
        <v>1843</v>
      </c>
      <c r="F315" s="4">
        <v>191059</v>
      </c>
      <c r="G315" s="26">
        <v>1</v>
      </c>
      <c r="H315" s="7">
        <v>45582</v>
      </c>
      <c r="J315" s="5"/>
    </row>
    <row r="316" spans="1:10" thickTop="1" thickBot="1" x14ac:dyDescent="0.6">
      <c r="A316" s="26">
        <v>64</v>
      </c>
      <c r="B316" s="43">
        <v>1150169</v>
      </c>
      <c r="C316" s="6" t="s">
        <v>1904</v>
      </c>
      <c r="D316" s="25" t="s">
        <v>1843</v>
      </c>
      <c r="E316" s="111">
        <v>756125901</v>
      </c>
      <c r="F316" s="4">
        <v>741335</v>
      </c>
      <c r="G316" s="26">
        <v>1</v>
      </c>
      <c r="J316" s="5" t="s">
        <v>1905</v>
      </c>
    </row>
    <row r="317" spans="1:10" thickTop="1" thickBot="1" x14ac:dyDescent="0.6">
      <c r="A317" s="26">
        <v>65</v>
      </c>
      <c r="B317" s="43">
        <v>1150948</v>
      </c>
      <c r="C317" s="6" t="s">
        <v>1906</v>
      </c>
      <c r="D317" s="25" t="s">
        <v>1843</v>
      </c>
      <c r="E317" s="111">
        <v>766286090</v>
      </c>
      <c r="F317" s="4">
        <v>382427</v>
      </c>
      <c r="G317" s="26">
        <v>1</v>
      </c>
      <c r="H317" s="7">
        <v>45582</v>
      </c>
      <c r="J317" s="5" t="s">
        <v>1907</v>
      </c>
    </row>
    <row r="318" spans="1:10" thickTop="1" thickBot="1" x14ac:dyDescent="0.6">
      <c r="A318" s="26">
        <v>66</v>
      </c>
      <c r="B318" s="43">
        <v>1150951</v>
      </c>
      <c r="C318" s="6" t="s">
        <v>1908</v>
      </c>
      <c r="D318" s="25" t="s">
        <v>1843</v>
      </c>
      <c r="E318" s="111">
        <v>741903832</v>
      </c>
      <c r="F318" s="4">
        <v>343379</v>
      </c>
      <c r="G318" s="26">
        <v>1</v>
      </c>
      <c r="H318" s="7">
        <v>45582</v>
      </c>
      <c r="J318" s="5" t="s">
        <v>1909</v>
      </c>
    </row>
    <row r="319" spans="1:10" thickTop="1" thickBot="1" x14ac:dyDescent="0.6">
      <c r="A319" s="26">
        <v>67</v>
      </c>
      <c r="B319" s="43">
        <v>1151220</v>
      </c>
      <c r="C319" s="6" t="s">
        <v>1910</v>
      </c>
      <c r="D319" s="25" t="s">
        <v>1843</v>
      </c>
      <c r="E319" s="111">
        <v>768471663</v>
      </c>
      <c r="F319" s="4">
        <v>353220</v>
      </c>
      <c r="G319" s="26">
        <v>1</v>
      </c>
      <c r="H319" s="7">
        <v>45609</v>
      </c>
      <c r="J319" s="5">
        <v>199928207688</v>
      </c>
    </row>
    <row r="320" spans="1:10" thickTop="1" thickBot="1" x14ac:dyDescent="0.6">
      <c r="A320" s="26">
        <v>68</v>
      </c>
      <c r="D320" s="25" t="s">
        <v>1843</v>
      </c>
      <c r="J320" s="5"/>
    </row>
    <row r="321" spans="1:10" thickTop="1" thickBot="1" x14ac:dyDescent="0.6">
      <c r="A321" s="26">
        <v>69</v>
      </c>
      <c r="B321" s="43">
        <v>1151312</v>
      </c>
      <c r="C321" s="6" t="s">
        <v>1911</v>
      </c>
      <c r="D321" s="25" t="s">
        <v>1843</v>
      </c>
      <c r="E321" s="111">
        <v>753409566</v>
      </c>
      <c r="F321" s="4">
        <v>217896</v>
      </c>
      <c r="G321" s="26">
        <v>1</v>
      </c>
      <c r="H321" s="7">
        <v>45620</v>
      </c>
      <c r="J321" s="5" t="s">
        <v>1912</v>
      </c>
    </row>
    <row r="322" spans="1:10" thickTop="1" thickBot="1" x14ac:dyDescent="0.6">
      <c r="A322" s="26">
        <v>70</v>
      </c>
      <c r="B322" s="43">
        <v>1151342</v>
      </c>
      <c r="C322" s="6" t="s">
        <v>1913</v>
      </c>
      <c r="D322" s="25" t="s">
        <v>1843</v>
      </c>
      <c r="E322" s="111">
        <v>763519206</v>
      </c>
      <c r="F322" s="4">
        <v>414840</v>
      </c>
      <c r="G322" s="26">
        <v>1</v>
      </c>
      <c r="H322" s="7">
        <v>45638</v>
      </c>
      <c r="J322" s="5" t="s">
        <v>1914</v>
      </c>
    </row>
    <row r="323" spans="1:10" thickTop="1" thickBot="1" x14ac:dyDescent="0.6">
      <c r="A323" s="26">
        <v>71</v>
      </c>
      <c r="B323" s="43">
        <v>1150261</v>
      </c>
      <c r="C323" s="6" t="s">
        <v>1915</v>
      </c>
      <c r="D323" s="25" t="s">
        <v>1843</v>
      </c>
      <c r="E323" s="111">
        <v>711999940</v>
      </c>
      <c r="F323" s="4">
        <v>261540</v>
      </c>
      <c r="G323" s="26">
        <v>1</v>
      </c>
      <c r="J323" s="5" t="s">
        <v>1916</v>
      </c>
    </row>
    <row r="324" spans="1:10" thickTop="1" thickBot="1" x14ac:dyDescent="0.6">
      <c r="A324" s="26">
        <v>72</v>
      </c>
      <c r="D324" s="25" t="s">
        <v>1843</v>
      </c>
      <c r="J324" s="5"/>
    </row>
    <row r="325" spans="1:10" thickTop="1" thickBot="1" x14ac:dyDescent="0.6">
      <c r="A325" s="26">
        <v>73</v>
      </c>
      <c r="D325" s="25" t="s">
        <v>1843</v>
      </c>
      <c r="J325" s="5"/>
    </row>
    <row r="326" spans="1:10" thickTop="1" thickBot="1" x14ac:dyDescent="0.6">
      <c r="A326" s="26">
        <v>74</v>
      </c>
      <c r="D326" s="25" t="s">
        <v>1843</v>
      </c>
      <c r="J326" s="5"/>
    </row>
    <row r="327" spans="1:10" thickTop="1" thickBot="1" x14ac:dyDescent="0.6">
      <c r="A327" s="26">
        <v>75</v>
      </c>
      <c r="D327" s="25" t="s">
        <v>1843</v>
      </c>
      <c r="J327" s="5"/>
    </row>
    <row r="328" spans="1:10" thickTop="1" thickBot="1" x14ac:dyDescent="0.6">
      <c r="A328" s="26">
        <v>76</v>
      </c>
      <c r="D328" s="25" t="s">
        <v>1843</v>
      </c>
      <c r="J328" s="5"/>
    </row>
    <row r="329" spans="1:10" thickTop="1" thickBot="1" x14ac:dyDescent="0.6">
      <c r="A329" s="26">
        <v>77</v>
      </c>
      <c r="D329" s="25" t="s">
        <v>1843</v>
      </c>
      <c r="J329" s="5"/>
    </row>
    <row r="330" spans="1:10" thickTop="1" thickBot="1" x14ac:dyDescent="0.6">
      <c r="A330" s="26">
        <v>78</v>
      </c>
      <c r="B330" s="43">
        <v>1150166</v>
      </c>
      <c r="C330" s="6" t="s">
        <v>1917</v>
      </c>
      <c r="D330" s="25" t="s">
        <v>1843</v>
      </c>
      <c r="F330" s="4">
        <v>746813</v>
      </c>
      <c r="G330" s="26">
        <v>1</v>
      </c>
      <c r="J330" s="5" t="s">
        <v>1918</v>
      </c>
    </row>
    <row r="331" spans="1:10" thickTop="1" thickBot="1" x14ac:dyDescent="0.6">
      <c r="A331" s="26">
        <v>79</v>
      </c>
      <c r="B331" s="43">
        <v>1150160</v>
      </c>
      <c r="C331" s="6" t="s">
        <v>1919</v>
      </c>
      <c r="D331" s="25" t="s">
        <v>1843</v>
      </c>
      <c r="E331" s="111">
        <v>715211600</v>
      </c>
      <c r="F331" s="4">
        <v>717591</v>
      </c>
      <c r="G331" s="26">
        <v>1</v>
      </c>
      <c r="J331" s="5" t="s">
        <v>1920</v>
      </c>
    </row>
    <row r="332" spans="1:10" thickTop="1" thickBot="1" x14ac:dyDescent="0.6">
      <c r="A332" s="26">
        <v>80</v>
      </c>
      <c r="B332" s="43">
        <v>1151086</v>
      </c>
      <c r="C332" s="6" t="s">
        <v>1921</v>
      </c>
      <c r="D332" s="25" t="s">
        <v>1843</v>
      </c>
      <c r="E332" s="111">
        <v>741456401</v>
      </c>
      <c r="F332" s="4">
        <v>217615</v>
      </c>
      <c r="G332" s="26">
        <v>1</v>
      </c>
      <c r="H332" s="7">
        <v>45602</v>
      </c>
      <c r="J332" s="5" t="s">
        <v>1922</v>
      </c>
    </row>
    <row r="333" spans="1:10" thickTop="1" thickBot="1" x14ac:dyDescent="0.6">
      <c r="A333" s="26">
        <v>81</v>
      </c>
      <c r="D333" s="25" t="s">
        <v>1843</v>
      </c>
      <c r="J333" s="5"/>
    </row>
    <row r="334" spans="1:10" thickTop="1" thickBot="1" x14ac:dyDescent="0.6">
      <c r="A334" s="26">
        <v>82</v>
      </c>
      <c r="B334" s="43">
        <v>1151001</v>
      </c>
      <c r="C334" s="6" t="s">
        <v>1923</v>
      </c>
      <c r="D334" s="25" t="s">
        <v>1843</v>
      </c>
      <c r="E334" s="111" t="s">
        <v>1924</v>
      </c>
      <c r="F334" s="4">
        <v>293103</v>
      </c>
      <c r="G334" s="26">
        <v>1</v>
      </c>
      <c r="H334" s="7">
        <v>45592</v>
      </c>
      <c r="J334" s="5" t="s">
        <v>1925</v>
      </c>
    </row>
    <row r="335" spans="1:10" thickTop="1" thickBot="1" x14ac:dyDescent="0.6">
      <c r="A335" s="26">
        <v>83</v>
      </c>
      <c r="B335" s="43">
        <v>1151017</v>
      </c>
      <c r="C335" s="6" t="s">
        <v>1926</v>
      </c>
      <c r="D335" s="25" t="s">
        <v>1843</v>
      </c>
      <c r="E335" s="111">
        <v>775568723</v>
      </c>
      <c r="F335" s="4">
        <v>166630</v>
      </c>
      <c r="G335" s="26">
        <v>1</v>
      </c>
      <c r="H335" s="7">
        <v>45593</v>
      </c>
      <c r="J335" s="5" t="s">
        <v>1927</v>
      </c>
    </row>
    <row r="336" spans="1:10" thickTop="1" thickBot="1" x14ac:dyDescent="0.6">
      <c r="A336" s="26">
        <v>84</v>
      </c>
      <c r="D336" s="25" t="s">
        <v>1843</v>
      </c>
      <c r="J336" s="5"/>
    </row>
    <row r="337" spans="1:10" thickTop="1" thickBot="1" x14ac:dyDescent="0.6">
      <c r="A337" s="26">
        <v>85</v>
      </c>
      <c r="D337" s="25" t="s">
        <v>1843</v>
      </c>
      <c r="J337" s="5"/>
    </row>
    <row r="338" spans="1:10" thickTop="1" thickBot="1" x14ac:dyDescent="0.6">
      <c r="A338" s="26">
        <v>86</v>
      </c>
      <c r="D338" s="25" t="s">
        <v>1843</v>
      </c>
      <c r="J338" s="5"/>
    </row>
    <row r="339" spans="1:10" thickTop="1" thickBot="1" x14ac:dyDescent="0.6">
      <c r="A339" s="26">
        <v>87</v>
      </c>
      <c r="B339" s="43">
        <v>1151440</v>
      </c>
      <c r="C339" s="6" t="s">
        <v>2865</v>
      </c>
      <c r="D339" s="25" t="s">
        <v>1843</v>
      </c>
      <c r="E339" s="111">
        <v>771949346</v>
      </c>
      <c r="F339" s="4">
        <v>596091</v>
      </c>
      <c r="G339" s="26">
        <v>1</v>
      </c>
      <c r="H339" s="7">
        <v>45738</v>
      </c>
      <c r="J339" s="5" t="s">
        <v>2866</v>
      </c>
    </row>
    <row r="340" spans="1:10" thickTop="1" thickBot="1" x14ac:dyDescent="0.6">
      <c r="A340" s="26">
        <v>88</v>
      </c>
      <c r="D340" s="25" t="s">
        <v>1843</v>
      </c>
      <c r="J340" s="5"/>
    </row>
    <row r="341" spans="1:10" thickTop="1" thickBot="1" x14ac:dyDescent="0.6">
      <c r="A341" s="26">
        <v>89</v>
      </c>
      <c r="B341" s="43">
        <v>1151507</v>
      </c>
      <c r="C341" s="6" t="s">
        <v>3076</v>
      </c>
      <c r="D341" s="25" t="s">
        <v>1843</v>
      </c>
      <c r="E341" s="111">
        <v>767500206</v>
      </c>
      <c r="F341" s="4">
        <v>156995</v>
      </c>
      <c r="G341" s="26">
        <v>1</v>
      </c>
      <c r="H341" s="7">
        <v>45790</v>
      </c>
      <c r="J341" s="5" t="s">
        <v>3077</v>
      </c>
    </row>
    <row r="342" spans="1:10" thickTop="1" thickBot="1" x14ac:dyDescent="0.6">
      <c r="A342" s="26">
        <v>90</v>
      </c>
      <c r="D342" s="25" t="s">
        <v>1843</v>
      </c>
      <c r="J342" s="5"/>
    </row>
    <row r="343" spans="1:10" thickTop="1" thickBot="1" x14ac:dyDescent="0.6">
      <c r="A343" s="26">
        <v>91</v>
      </c>
      <c r="D343" s="25" t="s">
        <v>1843</v>
      </c>
      <c r="J343" s="5"/>
    </row>
    <row r="344" spans="1:10" thickTop="1" thickBot="1" x14ac:dyDescent="0.6">
      <c r="A344" s="26">
        <v>92</v>
      </c>
      <c r="D344" s="25" t="s">
        <v>1843</v>
      </c>
      <c r="J344" s="5"/>
    </row>
    <row r="345" spans="1:10" thickTop="1" thickBot="1" x14ac:dyDescent="0.6">
      <c r="A345" s="26">
        <v>93</v>
      </c>
      <c r="B345" s="43">
        <v>1151427</v>
      </c>
      <c r="C345" s="6" t="s">
        <v>2819</v>
      </c>
      <c r="D345" s="25" t="s">
        <v>1843</v>
      </c>
      <c r="E345" s="111" t="s">
        <v>2820</v>
      </c>
      <c r="F345" s="4">
        <v>623010</v>
      </c>
      <c r="G345" s="26">
        <v>1</v>
      </c>
      <c r="H345" s="7">
        <v>45729</v>
      </c>
      <c r="J345" s="5">
        <v>198011001682</v>
      </c>
    </row>
    <row r="346" spans="1:10" thickTop="1" thickBot="1" x14ac:dyDescent="0.6">
      <c r="A346" s="26">
        <v>94</v>
      </c>
      <c r="B346" s="43">
        <v>1151441</v>
      </c>
      <c r="C346" s="6" t="s">
        <v>2868</v>
      </c>
      <c r="D346" s="25" t="s">
        <v>1843</v>
      </c>
      <c r="E346" s="111" t="s">
        <v>2869</v>
      </c>
      <c r="F346" s="4">
        <v>483043</v>
      </c>
      <c r="G346" s="26">
        <v>1</v>
      </c>
      <c r="H346" s="7">
        <v>45739</v>
      </c>
      <c r="J346" s="5" t="s">
        <v>2870</v>
      </c>
    </row>
    <row r="347" spans="1:10" thickTop="1" thickBot="1" x14ac:dyDescent="0.6">
      <c r="A347" s="26">
        <v>95</v>
      </c>
      <c r="D347" s="25" t="s">
        <v>1843</v>
      </c>
      <c r="J347" s="5"/>
    </row>
    <row r="348" spans="1:10" thickTop="1" thickBot="1" x14ac:dyDescent="0.6">
      <c r="A348" s="26">
        <v>96</v>
      </c>
      <c r="B348" s="43">
        <v>1150463</v>
      </c>
      <c r="C348" s="6" t="s">
        <v>1928</v>
      </c>
      <c r="D348" s="25" t="s">
        <v>1843</v>
      </c>
      <c r="E348" s="111">
        <v>767419975</v>
      </c>
      <c r="F348" s="4" t="str">
        <f>"0"&amp;46154</f>
        <v>046154</v>
      </c>
      <c r="G348" s="26">
        <v>1</v>
      </c>
      <c r="H348" s="7">
        <v>45060</v>
      </c>
      <c r="I348" s="7">
        <v>45060</v>
      </c>
      <c r="J348" s="5" t="s">
        <v>1929</v>
      </c>
    </row>
    <row r="349" spans="1:10" thickTop="1" thickBot="1" x14ac:dyDescent="0.6">
      <c r="A349" s="26">
        <v>97</v>
      </c>
      <c r="B349" s="43">
        <v>1151483</v>
      </c>
      <c r="C349" s="6" t="s">
        <v>2989</v>
      </c>
      <c r="D349" s="25" t="s">
        <v>1843</v>
      </c>
      <c r="E349" s="111" t="s">
        <v>2990</v>
      </c>
      <c r="F349" s="4">
        <v>655962</v>
      </c>
      <c r="G349" s="26">
        <v>1</v>
      </c>
      <c r="H349" s="7">
        <v>45765</v>
      </c>
      <c r="J349" s="5">
        <v>200619701268</v>
      </c>
    </row>
    <row r="350" spans="1:10" thickTop="1" thickBot="1" x14ac:dyDescent="0.6">
      <c r="A350" s="26">
        <v>98</v>
      </c>
      <c r="B350" s="43">
        <v>1151460</v>
      </c>
      <c r="C350" s="6" t="s">
        <v>2915</v>
      </c>
      <c r="D350" s="25" t="s">
        <v>1843</v>
      </c>
      <c r="E350" s="111">
        <v>703833752</v>
      </c>
      <c r="F350" s="4">
        <v>606353</v>
      </c>
      <c r="G350" s="26">
        <v>1</v>
      </c>
      <c r="H350" s="7">
        <v>45748</v>
      </c>
      <c r="J350" s="5"/>
    </row>
    <row r="351" spans="1:10" thickTop="1" thickBot="1" x14ac:dyDescent="0.6">
      <c r="A351" s="26">
        <v>99</v>
      </c>
      <c r="B351" s="43">
        <v>1151436</v>
      </c>
      <c r="C351" s="6" t="s">
        <v>2854</v>
      </c>
      <c r="D351" s="25" t="s">
        <v>1843</v>
      </c>
      <c r="E351" s="111">
        <v>763737858</v>
      </c>
      <c r="F351" s="4">
        <v>524184</v>
      </c>
      <c r="G351" s="26">
        <v>1</v>
      </c>
      <c r="H351" s="7">
        <v>45735</v>
      </c>
      <c r="J351" s="5">
        <v>200029503795</v>
      </c>
    </row>
    <row r="352" spans="1:10" thickTop="1" thickBot="1" x14ac:dyDescent="0.6">
      <c r="A352" s="26">
        <v>100</v>
      </c>
      <c r="B352" s="43">
        <v>1151452</v>
      </c>
      <c r="C352" s="6" t="s">
        <v>2893</v>
      </c>
      <c r="D352" s="25" t="s">
        <v>1843</v>
      </c>
      <c r="E352" s="111">
        <v>713717158</v>
      </c>
      <c r="F352" s="4">
        <v>580426</v>
      </c>
      <c r="G352" s="26">
        <v>1</v>
      </c>
      <c r="H352" s="7">
        <v>45747</v>
      </c>
      <c r="J352" s="5">
        <v>200377000709</v>
      </c>
    </row>
    <row r="353" spans="1:10" thickTop="1" thickBot="1" x14ac:dyDescent="0.6">
      <c r="A353" s="26">
        <v>101</v>
      </c>
      <c r="D353" s="25" t="s">
        <v>1843</v>
      </c>
      <c r="J353" s="5"/>
    </row>
    <row r="354" spans="1:10" thickTop="1" thickBot="1" x14ac:dyDescent="0.6">
      <c r="A354" s="26">
        <v>102</v>
      </c>
      <c r="B354" s="43">
        <v>1150258</v>
      </c>
      <c r="C354" s="6" t="s">
        <v>3096</v>
      </c>
      <c r="D354" s="25" t="s">
        <v>1843</v>
      </c>
      <c r="E354" s="111">
        <v>776885403</v>
      </c>
      <c r="F354" s="4">
        <v>580782</v>
      </c>
      <c r="G354" s="26">
        <v>1</v>
      </c>
      <c r="H354" s="7">
        <v>45800</v>
      </c>
      <c r="J354" s="5" t="s">
        <v>3097</v>
      </c>
    </row>
    <row r="355" spans="1:10" thickTop="1" thickBot="1" x14ac:dyDescent="0.6">
      <c r="A355" s="26">
        <v>103</v>
      </c>
      <c r="D355" s="25" t="s">
        <v>1843</v>
      </c>
      <c r="J355" s="5"/>
    </row>
    <row r="356" spans="1:10" thickTop="1" thickBot="1" x14ac:dyDescent="0.6">
      <c r="A356" s="26">
        <v>104</v>
      </c>
      <c r="D356" s="25" t="s">
        <v>1843</v>
      </c>
      <c r="J356" s="5"/>
    </row>
    <row r="357" spans="1:10" thickTop="1" thickBot="1" x14ac:dyDescent="0.6">
      <c r="A357" s="26">
        <v>105</v>
      </c>
      <c r="B357" s="43">
        <v>1150198</v>
      </c>
      <c r="C357" s="6" t="s">
        <v>1930</v>
      </c>
      <c r="D357" s="25" t="s">
        <v>1843</v>
      </c>
      <c r="E357" s="111">
        <v>705494985</v>
      </c>
      <c r="F357" s="4">
        <v>502869</v>
      </c>
      <c r="G357" s="26">
        <v>1</v>
      </c>
      <c r="J357" s="5" t="s">
        <v>1931</v>
      </c>
    </row>
    <row r="358" spans="1:10" thickTop="1" thickBot="1" x14ac:dyDescent="0.6">
      <c r="A358" s="26">
        <v>106</v>
      </c>
      <c r="B358" s="43">
        <v>1150930</v>
      </c>
      <c r="C358" s="6" t="s">
        <v>3023</v>
      </c>
      <c r="D358" s="25" t="s">
        <v>1843</v>
      </c>
      <c r="E358" s="111">
        <v>717771110</v>
      </c>
      <c r="F358" s="4">
        <v>372600</v>
      </c>
      <c r="G358" s="26">
        <v>1</v>
      </c>
      <c r="H358" s="7">
        <v>45580</v>
      </c>
      <c r="J358" s="5" t="s">
        <v>1932</v>
      </c>
    </row>
    <row r="359" spans="1:10" thickTop="1" thickBot="1" x14ac:dyDescent="0.6">
      <c r="A359" s="26">
        <v>107</v>
      </c>
      <c r="B359" s="43">
        <v>1151471</v>
      </c>
      <c r="C359" s="6" t="s">
        <v>2968</v>
      </c>
      <c r="D359" s="25" t="s">
        <v>1843</v>
      </c>
      <c r="E359" s="111">
        <v>779009058</v>
      </c>
      <c r="F359" s="4">
        <v>635832</v>
      </c>
      <c r="G359" s="26">
        <v>1</v>
      </c>
      <c r="H359" s="7">
        <v>45758</v>
      </c>
      <c r="J359" s="5" t="s">
        <v>2969</v>
      </c>
    </row>
    <row r="360" spans="1:10" thickTop="1" thickBot="1" x14ac:dyDescent="0.6">
      <c r="A360" s="26">
        <v>108</v>
      </c>
      <c r="D360" s="25" t="s">
        <v>1843</v>
      </c>
      <c r="J360" s="5"/>
    </row>
    <row r="361" spans="1:10" thickTop="1" thickBot="1" x14ac:dyDescent="0.6">
      <c r="A361" s="26">
        <v>109</v>
      </c>
      <c r="B361" s="43">
        <v>1150087</v>
      </c>
      <c r="C361" s="6" t="s">
        <v>1933</v>
      </c>
      <c r="D361" s="25" t="s">
        <v>1843</v>
      </c>
      <c r="E361" s="111" t="s">
        <v>1934</v>
      </c>
      <c r="F361" s="4">
        <v>130149</v>
      </c>
      <c r="G361" s="26">
        <v>1</v>
      </c>
      <c r="H361" s="7">
        <v>45533</v>
      </c>
      <c r="J361" s="5" t="s">
        <v>1935</v>
      </c>
    </row>
    <row r="362" spans="1:10" thickTop="1" thickBot="1" x14ac:dyDescent="0.6">
      <c r="A362" s="26">
        <v>110</v>
      </c>
      <c r="D362" s="25" t="s">
        <v>1843</v>
      </c>
      <c r="J362" s="5"/>
    </row>
    <row r="363" spans="1:10" thickTop="1" thickBot="1" x14ac:dyDescent="0.6">
      <c r="A363" s="26">
        <v>111</v>
      </c>
      <c r="D363" s="25" t="s">
        <v>1843</v>
      </c>
      <c r="J363" s="5"/>
    </row>
    <row r="364" spans="1:10" thickTop="1" thickBot="1" x14ac:dyDescent="0.6">
      <c r="A364" s="26">
        <v>112</v>
      </c>
      <c r="B364" s="43">
        <v>1150211</v>
      </c>
      <c r="C364" s="6" t="s">
        <v>1936</v>
      </c>
      <c r="D364" s="25" t="s">
        <v>1843</v>
      </c>
      <c r="E364" s="111">
        <v>773352481</v>
      </c>
      <c r="F364" s="4">
        <v>324652</v>
      </c>
      <c r="G364" s="26">
        <v>1</v>
      </c>
      <c r="J364" s="5" t="s">
        <v>1937</v>
      </c>
    </row>
    <row r="365" spans="1:10" thickTop="1" thickBot="1" x14ac:dyDescent="0.6">
      <c r="A365" s="26">
        <v>113</v>
      </c>
      <c r="D365" s="25" t="s">
        <v>1843</v>
      </c>
      <c r="J365" s="5"/>
    </row>
    <row r="366" spans="1:10" thickTop="1" thickBot="1" x14ac:dyDescent="0.6">
      <c r="A366" s="26">
        <v>114</v>
      </c>
      <c r="B366" s="43">
        <v>1151297</v>
      </c>
      <c r="C366" s="6" t="s">
        <v>1938</v>
      </c>
      <c r="D366" s="25" t="s">
        <v>1843</v>
      </c>
      <c r="E366" s="111" t="s">
        <v>1939</v>
      </c>
      <c r="F366" s="4">
        <v>281009</v>
      </c>
      <c r="G366" s="26">
        <v>1</v>
      </c>
      <c r="H366" s="7">
        <v>45613</v>
      </c>
      <c r="J366" s="5" t="s">
        <v>1940</v>
      </c>
    </row>
    <row r="367" spans="1:10" thickTop="1" thickBot="1" x14ac:dyDescent="0.6">
      <c r="A367" s="26">
        <v>115</v>
      </c>
      <c r="B367" s="43">
        <v>1150203</v>
      </c>
      <c r="C367" s="6" t="s">
        <v>1941</v>
      </c>
      <c r="D367" s="25" t="s">
        <v>1843</v>
      </c>
      <c r="E367" s="111" t="s">
        <v>1942</v>
      </c>
      <c r="F367" s="4">
        <v>756101</v>
      </c>
      <c r="G367" s="26">
        <v>1</v>
      </c>
      <c r="J367" s="5">
        <v>200163903504</v>
      </c>
    </row>
    <row r="368" spans="1:10" thickTop="1" thickBot="1" x14ac:dyDescent="0.6">
      <c r="A368" s="26">
        <v>116</v>
      </c>
      <c r="B368" s="43">
        <v>1150207</v>
      </c>
      <c r="C368" s="6" t="s">
        <v>1943</v>
      </c>
      <c r="D368" s="25" t="s">
        <v>1843</v>
      </c>
      <c r="E368" s="111">
        <v>775243967</v>
      </c>
      <c r="F368" s="4">
        <v>667035</v>
      </c>
      <c r="G368" s="26">
        <v>1</v>
      </c>
      <c r="J368" s="5" t="s">
        <v>1944</v>
      </c>
    </row>
    <row r="369" spans="1:10" thickTop="1" thickBot="1" x14ac:dyDescent="0.6">
      <c r="A369" s="26">
        <v>117</v>
      </c>
      <c r="B369" s="43">
        <v>1151279</v>
      </c>
      <c r="C369" s="6" t="s">
        <v>1945</v>
      </c>
      <c r="D369" s="25" t="s">
        <v>1843</v>
      </c>
      <c r="E369" s="111">
        <v>761868216</v>
      </c>
      <c r="F369" s="4">
        <v>307010</v>
      </c>
      <c r="G369" s="26">
        <v>1</v>
      </c>
      <c r="H369" s="7">
        <v>45610</v>
      </c>
      <c r="J369" s="5"/>
    </row>
    <row r="370" spans="1:10" thickTop="1" thickBot="1" x14ac:dyDescent="0.6">
      <c r="A370" s="26">
        <v>118</v>
      </c>
      <c r="B370" s="43">
        <v>1151592</v>
      </c>
      <c r="C370" s="6" t="s">
        <v>3383</v>
      </c>
      <c r="D370" s="25" t="s">
        <v>1843</v>
      </c>
      <c r="E370" s="111" t="s">
        <v>3384</v>
      </c>
      <c r="F370" s="4">
        <v>702210</v>
      </c>
      <c r="G370" s="26">
        <v>1</v>
      </c>
      <c r="H370" s="7">
        <v>45928</v>
      </c>
      <c r="J370" s="5" t="s">
        <v>3385</v>
      </c>
    </row>
    <row r="371" spans="1:10" thickTop="1" thickBot="1" x14ac:dyDescent="0.6">
      <c r="A371" s="26">
        <v>119</v>
      </c>
      <c r="D371" s="25" t="s">
        <v>1843</v>
      </c>
      <c r="J371" s="5"/>
    </row>
    <row r="372" spans="1:10" thickTop="1" thickBot="1" x14ac:dyDescent="0.6">
      <c r="A372" s="26">
        <v>120</v>
      </c>
      <c r="D372" s="25" t="s">
        <v>1843</v>
      </c>
      <c r="J372" s="5"/>
    </row>
    <row r="373" spans="1:10" thickTop="1" thickBot="1" x14ac:dyDescent="0.6">
      <c r="A373" s="26">
        <v>121</v>
      </c>
      <c r="B373" s="43">
        <v>1150349</v>
      </c>
      <c r="C373" s="6" t="s">
        <v>1946</v>
      </c>
      <c r="D373" s="25" t="s">
        <v>1843</v>
      </c>
      <c r="E373" s="111">
        <v>777112210</v>
      </c>
      <c r="F373" s="4">
        <v>962189</v>
      </c>
      <c r="G373" s="26">
        <v>1</v>
      </c>
      <c r="I373" s="7">
        <v>44737</v>
      </c>
      <c r="J373" s="5" t="s">
        <v>1947</v>
      </c>
    </row>
    <row r="374" spans="1:10" thickTop="1" thickBot="1" x14ac:dyDescent="0.6">
      <c r="A374" s="26">
        <v>122</v>
      </c>
      <c r="B374" s="43">
        <v>1150355</v>
      </c>
      <c r="C374" s="6" t="s">
        <v>1948</v>
      </c>
      <c r="D374" s="25" t="s">
        <v>1843</v>
      </c>
      <c r="E374" s="111">
        <v>779740401</v>
      </c>
      <c r="F374" s="4">
        <v>694345</v>
      </c>
      <c r="G374" s="26">
        <v>1</v>
      </c>
      <c r="J374" s="5">
        <v>198530903475</v>
      </c>
    </row>
    <row r="375" spans="1:10" thickTop="1" thickBot="1" x14ac:dyDescent="0.6">
      <c r="A375" s="26">
        <v>123</v>
      </c>
      <c r="B375" s="43">
        <v>1150545</v>
      </c>
      <c r="C375" s="6" t="s">
        <v>1949</v>
      </c>
      <c r="D375" s="25" t="s">
        <v>1843</v>
      </c>
      <c r="E375" s="111">
        <v>764694391</v>
      </c>
      <c r="F375" s="4" t="str">
        <f>"0"&amp;92463</f>
        <v>092463</v>
      </c>
      <c r="G375" s="26">
        <v>1</v>
      </c>
      <c r="J375" s="5" t="s">
        <v>1950</v>
      </c>
    </row>
    <row r="376" spans="1:10" thickTop="1" thickBot="1" x14ac:dyDescent="0.6">
      <c r="A376" s="26">
        <v>124</v>
      </c>
      <c r="D376" s="25" t="s">
        <v>1843</v>
      </c>
      <c r="J376" s="5"/>
    </row>
    <row r="377" spans="1:10" thickTop="1" thickBot="1" x14ac:dyDescent="0.6">
      <c r="A377" s="26">
        <v>125</v>
      </c>
      <c r="B377" s="43">
        <v>1150720</v>
      </c>
      <c r="C377" s="6" t="s">
        <v>1951</v>
      </c>
      <c r="D377" s="25" t="s">
        <v>1843</v>
      </c>
      <c r="E377" s="111">
        <v>706506517</v>
      </c>
      <c r="F377" s="4">
        <v>105448</v>
      </c>
      <c r="G377" s="26">
        <v>1</v>
      </c>
      <c r="H377" s="7">
        <v>45516</v>
      </c>
      <c r="J377" s="5">
        <v>198628404459</v>
      </c>
    </row>
    <row r="378" spans="1:10" thickTop="1" thickBot="1" x14ac:dyDescent="0.6">
      <c r="A378" s="26">
        <v>1</v>
      </c>
      <c r="B378" s="43">
        <v>1151358</v>
      </c>
      <c r="C378" s="6" t="s">
        <v>1952</v>
      </c>
      <c r="D378" s="25" t="s">
        <v>1953</v>
      </c>
      <c r="E378" s="111">
        <v>774644392</v>
      </c>
      <c r="F378" s="4">
        <v>455769</v>
      </c>
      <c r="G378" s="26">
        <v>1</v>
      </c>
      <c r="H378" s="7">
        <v>45687</v>
      </c>
      <c r="J378" s="4" t="s">
        <v>2687</v>
      </c>
    </row>
    <row r="379" spans="1:10" thickTop="1" thickBot="1" x14ac:dyDescent="0.6">
      <c r="A379" s="26">
        <v>2</v>
      </c>
      <c r="B379" s="43">
        <v>1150865</v>
      </c>
      <c r="C379" s="6" t="s">
        <v>1954</v>
      </c>
      <c r="D379" s="25" t="s">
        <v>1953</v>
      </c>
      <c r="E379" s="111">
        <v>725487872</v>
      </c>
      <c r="F379" s="4">
        <v>290653</v>
      </c>
      <c r="G379" s="26">
        <v>1</v>
      </c>
    </row>
    <row r="380" spans="1:10" thickTop="1" thickBot="1" x14ac:dyDescent="0.6">
      <c r="A380" s="26">
        <v>3</v>
      </c>
      <c r="B380" s="43">
        <v>1150795</v>
      </c>
      <c r="C380" s="6" t="s">
        <v>1955</v>
      </c>
      <c r="D380" s="25" t="s">
        <v>1953</v>
      </c>
      <c r="E380" s="111">
        <v>715841245</v>
      </c>
      <c r="F380" s="4">
        <v>82647</v>
      </c>
      <c r="G380" s="26">
        <v>1</v>
      </c>
    </row>
    <row r="381" spans="1:10" thickTop="1" thickBot="1" x14ac:dyDescent="0.6">
      <c r="A381" s="26">
        <v>4</v>
      </c>
      <c r="B381" s="43">
        <v>1151219</v>
      </c>
      <c r="C381" s="6" t="s">
        <v>1956</v>
      </c>
      <c r="D381" s="25" t="s">
        <v>1953</v>
      </c>
      <c r="E381" s="111">
        <v>713086400</v>
      </c>
      <c r="F381" s="4">
        <v>193576</v>
      </c>
      <c r="G381" s="26">
        <v>1</v>
      </c>
      <c r="H381" s="7"/>
    </row>
    <row r="382" spans="1:10" thickTop="1" thickBot="1" x14ac:dyDescent="0.6">
      <c r="A382" s="26">
        <v>5</v>
      </c>
      <c r="B382" s="43">
        <v>1150235</v>
      </c>
      <c r="C382" s="6" t="s">
        <v>1957</v>
      </c>
      <c r="D382" s="25" t="s">
        <v>1953</v>
      </c>
      <c r="E382" s="111">
        <v>772301853</v>
      </c>
      <c r="F382" s="4">
        <v>626008</v>
      </c>
      <c r="G382" s="26">
        <v>1</v>
      </c>
    </row>
    <row r="383" spans="1:10" thickTop="1" thickBot="1" x14ac:dyDescent="0.6">
      <c r="A383" s="26">
        <v>6</v>
      </c>
      <c r="B383" s="43">
        <v>1150791</v>
      </c>
      <c r="C383" s="6" t="s">
        <v>1958</v>
      </c>
      <c r="D383" s="25" t="s">
        <v>1953</v>
      </c>
      <c r="E383" s="111">
        <v>710312623</v>
      </c>
      <c r="F383" s="4">
        <v>126683</v>
      </c>
      <c r="G383" s="26">
        <v>1</v>
      </c>
    </row>
    <row r="384" spans="1:10" thickTop="1" thickBot="1" x14ac:dyDescent="0.6">
      <c r="A384" s="26">
        <v>7</v>
      </c>
      <c r="B384" s="43">
        <v>1150682</v>
      </c>
      <c r="C384" s="6" t="s">
        <v>1959</v>
      </c>
      <c r="D384" s="25" t="s">
        <v>1953</v>
      </c>
      <c r="E384" s="111" t="s">
        <v>1960</v>
      </c>
      <c r="F384" s="4">
        <v>96407</v>
      </c>
      <c r="G384" s="26">
        <v>1</v>
      </c>
    </row>
    <row r="385" spans="1:10" thickTop="1" thickBot="1" x14ac:dyDescent="0.6">
      <c r="A385" s="26">
        <v>8</v>
      </c>
      <c r="B385" s="43">
        <v>1151350</v>
      </c>
      <c r="C385" s="6" t="s">
        <v>3024</v>
      </c>
      <c r="D385" s="25" t="s">
        <v>1953</v>
      </c>
      <c r="E385" s="111">
        <v>775736480</v>
      </c>
      <c r="F385" s="4">
        <v>654122</v>
      </c>
      <c r="G385" s="26">
        <v>1</v>
      </c>
      <c r="H385" s="7">
        <v>45684</v>
      </c>
    </row>
    <row r="386" spans="1:10" thickTop="1" thickBot="1" x14ac:dyDescent="0.6">
      <c r="A386" s="26">
        <v>9</v>
      </c>
      <c r="C386" s="6" t="s">
        <v>3025</v>
      </c>
      <c r="D386" s="25" t="s">
        <v>1953</v>
      </c>
      <c r="E386" s="111">
        <v>774828853</v>
      </c>
      <c r="G386" s="26">
        <v>1</v>
      </c>
    </row>
    <row r="387" spans="1:10" thickTop="1" thickBot="1" x14ac:dyDescent="0.6">
      <c r="A387" s="26">
        <v>10</v>
      </c>
      <c r="B387" s="43">
        <v>1151555</v>
      </c>
      <c r="C387" s="6" t="s">
        <v>3287</v>
      </c>
      <c r="D387" s="25" t="s">
        <v>1953</v>
      </c>
      <c r="E387" s="111">
        <v>712655114</v>
      </c>
      <c r="F387" s="4">
        <v>463698</v>
      </c>
      <c r="G387" s="26">
        <v>1</v>
      </c>
      <c r="H387" s="7">
        <v>45847</v>
      </c>
    </row>
    <row r="388" spans="1:10" thickTop="1" thickBot="1" x14ac:dyDescent="0.6">
      <c r="A388" s="26">
        <v>1</v>
      </c>
      <c r="B388" s="43">
        <v>1150938</v>
      </c>
      <c r="C388" s="6" t="s">
        <v>1961</v>
      </c>
      <c r="D388" s="25" t="s">
        <v>1962</v>
      </c>
      <c r="E388" s="111">
        <v>779567415</v>
      </c>
      <c r="F388" s="4">
        <v>269865</v>
      </c>
      <c r="G388" s="26">
        <v>1</v>
      </c>
      <c r="H388" s="7">
        <v>45579</v>
      </c>
    </row>
    <row r="389" spans="1:10" thickTop="1" thickBot="1" x14ac:dyDescent="0.6">
      <c r="A389" s="26">
        <v>2</v>
      </c>
      <c r="B389" s="43">
        <v>1150929</v>
      </c>
      <c r="C389" s="6" t="s">
        <v>1963</v>
      </c>
      <c r="D389" s="25" t="s">
        <v>1962</v>
      </c>
      <c r="E389" s="111">
        <v>779734837</v>
      </c>
      <c r="F389" s="4">
        <v>274913</v>
      </c>
      <c r="G389" s="26">
        <v>1</v>
      </c>
      <c r="H389" s="7">
        <v>45579</v>
      </c>
      <c r="J389" s="4" t="s">
        <v>1964</v>
      </c>
    </row>
    <row r="390" spans="1:10" thickTop="1" thickBot="1" x14ac:dyDescent="0.6">
      <c r="A390" s="26">
        <v>3</v>
      </c>
      <c r="B390" s="43">
        <v>1151003</v>
      </c>
      <c r="C390" s="6" t="s">
        <v>1965</v>
      </c>
      <c r="D390" s="25" t="s">
        <v>1962</v>
      </c>
      <c r="E390" s="111">
        <v>775633645</v>
      </c>
      <c r="F390" s="4">
        <v>312721</v>
      </c>
      <c r="G390" s="26">
        <v>1</v>
      </c>
      <c r="H390" s="7">
        <v>45592</v>
      </c>
      <c r="J390" s="4" t="s">
        <v>1966</v>
      </c>
    </row>
    <row r="391" spans="1:10" thickTop="1" thickBot="1" x14ac:dyDescent="0.6">
      <c r="A391" s="26">
        <v>4</v>
      </c>
      <c r="B391" s="43">
        <v>1150557</v>
      </c>
      <c r="C391" s="6" t="s">
        <v>1967</v>
      </c>
      <c r="D391" s="25" t="s">
        <v>1962</v>
      </c>
      <c r="E391" s="111" t="s">
        <v>1968</v>
      </c>
      <c r="F391" s="4">
        <v>138399</v>
      </c>
      <c r="G391" s="26">
        <v>1</v>
      </c>
      <c r="H391" s="7">
        <v>45280</v>
      </c>
      <c r="J391" s="4" t="s">
        <v>1969</v>
      </c>
    </row>
    <row r="392" spans="1:10" thickTop="1" thickBot="1" x14ac:dyDescent="0.6">
      <c r="A392" s="26">
        <v>5</v>
      </c>
      <c r="B392" s="43">
        <v>1150928</v>
      </c>
      <c r="C392" s="6" t="s">
        <v>1970</v>
      </c>
      <c r="D392" s="25" t="s">
        <v>1962</v>
      </c>
      <c r="F392" s="4">
        <v>347446</v>
      </c>
      <c r="G392" s="26">
        <v>1</v>
      </c>
      <c r="H392" s="7">
        <v>45579</v>
      </c>
    </row>
    <row r="393" spans="1:10" thickTop="1" thickBot="1" x14ac:dyDescent="0.6">
      <c r="A393" s="26">
        <v>6</v>
      </c>
      <c r="D393" s="25" t="s">
        <v>1962</v>
      </c>
    </row>
    <row r="394" spans="1:10" thickTop="1" thickBot="1" x14ac:dyDescent="0.6">
      <c r="A394" s="26">
        <v>7</v>
      </c>
      <c r="B394" s="43">
        <v>1151000</v>
      </c>
      <c r="C394" s="6" t="s">
        <v>1971</v>
      </c>
      <c r="D394" s="25" t="s">
        <v>1962</v>
      </c>
      <c r="E394" s="111">
        <v>768819493</v>
      </c>
      <c r="F394" s="4">
        <v>381023</v>
      </c>
      <c r="G394" s="26">
        <v>1</v>
      </c>
      <c r="H394" s="7">
        <v>45592</v>
      </c>
      <c r="J394" s="4" t="s">
        <v>1972</v>
      </c>
    </row>
    <row r="395" spans="1:10" thickTop="1" thickBot="1" x14ac:dyDescent="0.6">
      <c r="A395" s="26">
        <v>8</v>
      </c>
      <c r="B395" s="43">
        <v>1151404</v>
      </c>
      <c r="C395" s="6" t="s">
        <v>2774</v>
      </c>
      <c r="D395" s="25" t="s">
        <v>1962</v>
      </c>
      <c r="E395" s="111">
        <v>767939592</v>
      </c>
      <c r="F395" s="4">
        <v>675093</v>
      </c>
      <c r="G395" s="26">
        <v>1</v>
      </c>
      <c r="H395" s="7">
        <v>45802</v>
      </c>
      <c r="J395" s="4">
        <v>196709310079</v>
      </c>
    </row>
    <row r="396" spans="1:10" thickTop="1" thickBot="1" x14ac:dyDescent="0.6">
      <c r="A396" s="26">
        <v>9</v>
      </c>
      <c r="B396" s="43">
        <v>1151169</v>
      </c>
      <c r="C396" s="6" t="s">
        <v>1973</v>
      </c>
      <c r="D396" s="25" t="s">
        <v>1962</v>
      </c>
      <c r="E396" s="111">
        <v>778012408</v>
      </c>
      <c r="F396" s="4">
        <v>166150</v>
      </c>
      <c r="G396" s="26">
        <v>1</v>
      </c>
      <c r="H396" s="7">
        <v>45606</v>
      </c>
    </row>
    <row r="397" spans="1:10" thickTop="1" thickBot="1" x14ac:dyDescent="0.6">
      <c r="A397" s="26">
        <v>10</v>
      </c>
      <c r="D397" s="25" t="s">
        <v>1962</v>
      </c>
    </row>
    <row r="398" spans="1:10" thickTop="1" thickBot="1" x14ac:dyDescent="0.6">
      <c r="A398" s="26">
        <v>11</v>
      </c>
      <c r="D398" s="25" t="s">
        <v>1962</v>
      </c>
    </row>
    <row r="399" spans="1:10" thickTop="1" thickBot="1" x14ac:dyDescent="0.6">
      <c r="A399" s="26">
        <v>12</v>
      </c>
      <c r="D399" s="25" t="s">
        <v>1962</v>
      </c>
    </row>
    <row r="400" spans="1:10" thickTop="1" thickBot="1" x14ac:dyDescent="0.6">
      <c r="A400" s="26">
        <v>13</v>
      </c>
      <c r="B400" s="43">
        <v>1150946</v>
      </c>
      <c r="C400" s="6" t="s">
        <v>1974</v>
      </c>
      <c r="D400" s="25" t="s">
        <v>1962</v>
      </c>
      <c r="E400" s="111">
        <v>775422323</v>
      </c>
      <c r="F400" s="4">
        <v>315716</v>
      </c>
      <c r="G400" s="26">
        <v>1</v>
      </c>
      <c r="H400" s="7">
        <v>45582</v>
      </c>
    </row>
    <row r="401" spans="1:10" thickTop="1" thickBot="1" x14ac:dyDescent="0.6">
      <c r="A401" s="26">
        <v>14</v>
      </c>
      <c r="B401" s="43">
        <v>1151004</v>
      </c>
      <c r="C401" s="6" t="s">
        <v>1975</v>
      </c>
      <c r="D401" s="25" t="s">
        <v>1962</v>
      </c>
      <c r="E401" s="111">
        <v>774468300</v>
      </c>
      <c r="F401" s="4">
        <v>320179</v>
      </c>
      <c r="G401" s="26">
        <v>1</v>
      </c>
      <c r="H401" s="7">
        <v>45592</v>
      </c>
      <c r="J401" s="4" t="s">
        <v>1976</v>
      </c>
    </row>
    <row r="402" spans="1:10" thickTop="1" thickBot="1" x14ac:dyDescent="0.6">
      <c r="A402" s="26">
        <v>15</v>
      </c>
      <c r="B402" s="43">
        <v>1151365</v>
      </c>
      <c r="C402" s="6" t="s">
        <v>2682</v>
      </c>
      <c r="D402" s="25" t="s">
        <v>1962</v>
      </c>
      <c r="E402" s="111">
        <v>769718702</v>
      </c>
      <c r="F402" s="4">
        <v>421654</v>
      </c>
      <c r="G402" s="26">
        <v>1</v>
      </c>
      <c r="H402" s="7">
        <v>45691</v>
      </c>
      <c r="J402" s="4" t="s">
        <v>2698</v>
      </c>
    </row>
    <row r="403" spans="1:10" thickTop="1" thickBot="1" x14ac:dyDescent="0.6">
      <c r="A403" s="26">
        <v>16</v>
      </c>
      <c r="B403" s="43">
        <v>1150798</v>
      </c>
      <c r="C403" s="6" t="s">
        <v>1977</v>
      </c>
      <c r="D403" s="25" t="s">
        <v>1962</v>
      </c>
      <c r="E403" s="111">
        <v>771036254</v>
      </c>
      <c r="F403" s="4">
        <v>127566</v>
      </c>
      <c r="G403" s="26">
        <v>1</v>
      </c>
      <c r="H403" s="7">
        <v>45532</v>
      </c>
      <c r="J403" s="4" t="s">
        <v>1978</v>
      </c>
    </row>
    <row r="404" spans="1:10" thickTop="1" thickBot="1" x14ac:dyDescent="0.6">
      <c r="A404" s="26">
        <v>17</v>
      </c>
      <c r="D404" s="25" t="s">
        <v>1962</v>
      </c>
    </row>
    <row r="405" spans="1:10" thickTop="1" thickBot="1" x14ac:dyDescent="0.6">
      <c r="A405" s="26">
        <v>18</v>
      </c>
      <c r="B405" s="43">
        <v>1151407</v>
      </c>
      <c r="C405" s="6" t="s">
        <v>2777</v>
      </c>
      <c r="D405" s="25" t="s">
        <v>1962</v>
      </c>
      <c r="E405" s="111">
        <v>752911701</v>
      </c>
      <c r="F405" s="4">
        <v>600612</v>
      </c>
      <c r="G405" s="26">
        <v>1</v>
      </c>
      <c r="H405" s="7">
        <v>45715</v>
      </c>
      <c r="J405" s="4" t="s">
        <v>2778</v>
      </c>
    </row>
    <row r="406" spans="1:10" thickTop="1" thickBot="1" x14ac:dyDescent="0.6">
      <c r="A406" s="26">
        <v>19</v>
      </c>
      <c r="D406" s="25" t="s">
        <v>1962</v>
      </c>
    </row>
    <row r="407" spans="1:10" thickTop="1" thickBot="1" x14ac:dyDescent="0.6">
      <c r="A407" s="26">
        <v>20</v>
      </c>
      <c r="B407" s="43">
        <v>1150092</v>
      </c>
      <c r="C407" s="6" t="s">
        <v>3050</v>
      </c>
      <c r="D407" s="25" t="s">
        <v>1962</v>
      </c>
      <c r="E407" s="111">
        <v>743448311</v>
      </c>
      <c r="F407" s="4">
        <v>103179</v>
      </c>
      <c r="G407" s="26">
        <v>1</v>
      </c>
      <c r="H407" s="7">
        <v>45782</v>
      </c>
      <c r="J407" s="4" t="s">
        <v>3051</v>
      </c>
    </row>
    <row r="408" spans="1:10" thickTop="1" thickBot="1" x14ac:dyDescent="0.6">
      <c r="A408" s="26">
        <v>21</v>
      </c>
      <c r="D408" s="25" t="s">
        <v>1962</v>
      </c>
    </row>
    <row r="409" spans="1:10" thickTop="1" thickBot="1" x14ac:dyDescent="0.6">
      <c r="A409" s="26">
        <v>22</v>
      </c>
      <c r="B409" s="43">
        <v>1151133</v>
      </c>
      <c r="C409" s="6" t="s">
        <v>1979</v>
      </c>
      <c r="D409" s="25" t="s">
        <v>1962</v>
      </c>
      <c r="E409" s="111">
        <v>770797775</v>
      </c>
      <c r="F409" s="4">
        <v>218696</v>
      </c>
      <c r="G409" s="26">
        <v>1</v>
      </c>
      <c r="H409" s="7">
        <v>45604</v>
      </c>
      <c r="J409" s="4" t="s">
        <v>1980</v>
      </c>
    </row>
    <row r="410" spans="1:10" thickTop="1" thickBot="1" x14ac:dyDescent="0.6">
      <c r="A410" s="26">
        <v>23</v>
      </c>
      <c r="B410" s="43">
        <v>1151221</v>
      </c>
      <c r="C410" s="6" t="s">
        <v>1981</v>
      </c>
      <c r="D410" s="25" t="s">
        <v>1962</v>
      </c>
      <c r="E410" s="111">
        <v>713314027</v>
      </c>
      <c r="F410" s="4">
        <v>338130</v>
      </c>
      <c r="G410" s="26">
        <v>1</v>
      </c>
      <c r="H410" s="7">
        <v>45609</v>
      </c>
      <c r="J410" s="4">
        <v>200156303803</v>
      </c>
    </row>
    <row r="411" spans="1:10" thickTop="1" thickBot="1" x14ac:dyDescent="0.6">
      <c r="A411" s="26">
        <v>24</v>
      </c>
      <c r="B411" s="43">
        <v>1151557</v>
      </c>
      <c r="C411" s="6" t="s">
        <v>3295</v>
      </c>
      <c r="D411" s="25" t="s">
        <v>1962</v>
      </c>
      <c r="E411" s="111">
        <v>769239813</v>
      </c>
      <c r="F411" s="4">
        <v>618010</v>
      </c>
      <c r="G411" s="26">
        <v>1</v>
      </c>
      <c r="H411" s="7">
        <v>45855</v>
      </c>
      <c r="J411" s="4">
        <v>197625004804</v>
      </c>
    </row>
    <row r="412" spans="1:10" thickTop="1" thickBot="1" x14ac:dyDescent="0.6">
      <c r="A412" s="26">
        <v>25</v>
      </c>
      <c r="D412" s="25" t="s">
        <v>1962</v>
      </c>
    </row>
    <row r="413" spans="1:10" thickTop="1" thickBot="1" x14ac:dyDescent="0.6">
      <c r="A413" s="26">
        <v>26</v>
      </c>
      <c r="D413" s="25" t="s">
        <v>1962</v>
      </c>
    </row>
    <row r="414" spans="1:10" thickTop="1" thickBot="1" x14ac:dyDescent="0.6">
      <c r="A414" s="26">
        <v>27</v>
      </c>
      <c r="B414" s="43">
        <v>1150131</v>
      </c>
      <c r="C414" s="6" t="s">
        <v>1982</v>
      </c>
      <c r="D414" s="25" t="s">
        <v>1962</v>
      </c>
      <c r="E414" s="111">
        <v>705522810</v>
      </c>
      <c r="F414" s="4">
        <v>619598</v>
      </c>
      <c r="G414" s="26">
        <v>1</v>
      </c>
      <c r="H414" s="7">
        <v>45782</v>
      </c>
      <c r="I414" s="7">
        <v>44470</v>
      </c>
      <c r="J414" s="4" t="s">
        <v>1983</v>
      </c>
    </row>
    <row r="415" spans="1:10" thickTop="1" thickBot="1" x14ac:dyDescent="0.6">
      <c r="A415" s="26">
        <v>28</v>
      </c>
      <c r="B415" s="43">
        <v>1150831</v>
      </c>
      <c r="C415" s="6" t="s">
        <v>1984</v>
      </c>
      <c r="D415" s="25" t="s">
        <v>1962</v>
      </c>
      <c r="E415" s="111">
        <v>771632007</v>
      </c>
      <c r="F415" s="4" t="str">
        <f>"0"&amp;35983</f>
        <v>035983</v>
      </c>
      <c r="G415" s="26">
        <v>1</v>
      </c>
      <c r="H415" s="7">
        <v>45547</v>
      </c>
      <c r="I415" s="7">
        <v>45272</v>
      </c>
      <c r="J415" s="4" t="s">
        <v>1985</v>
      </c>
    </row>
    <row r="416" spans="1:10" thickTop="1" thickBot="1" x14ac:dyDescent="0.6">
      <c r="A416" s="26">
        <v>29</v>
      </c>
      <c r="B416" s="43">
        <v>1151439</v>
      </c>
      <c r="C416" s="6" t="s">
        <v>2867</v>
      </c>
      <c r="D416" s="25" t="s">
        <v>1962</v>
      </c>
      <c r="E416" s="111">
        <v>771848814</v>
      </c>
      <c r="F416" s="4">
        <v>674229</v>
      </c>
      <c r="G416" s="26">
        <v>1</v>
      </c>
      <c r="H416" s="7">
        <v>45737</v>
      </c>
      <c r="J416" s="4">
        <v>200068601046</v>
      </c>
    </row>
    <row r="417" spans="1:10" thickTop="1" thickBot="1" x14ac:dyDescent="0.6">
      <c r="A417" s="26">
        <v>30</v>
      </c>
      <c r="B417" s="43">
        <v>1151432</v>
      </c>
      <c r="C417" s="6" t="s">
        <v>2848</v>
      </c>
      <c r="D417" s="25" t="s">
        <v>1962</v>
      </c>
      <c r="E417" s="111">
        <v>7742772724</v>
      </c>
      <c r="F417" s="4">
        <v>607724</v>
      </c>
      <c r="G417" s="26">
        <v>1</v>
      </c>
      <c r="H417" s="7">
        <v>45735</v>
      </c>
    </row>
    <row r="418" spans="1:10" thickTop="1" thickBot="1" x14ac:dyDescent="0.6">
      <c r="A418" s="26">
        <v>31</v>
      </c>
      <c r="D418" s="25" t="s">
        <v>1962</v>
      </c>
    </row>
    <row r="419" spans="1:10" thickTop="1" thickBot="1" x14ac:dyDescent="0.6">
      <c r="A419" s="26">
        <v>32</v>
      </c>
      <c r="D419" s="25" t="s">
        <v>1962</v>
      </c>
    </row>
    <row r="420" spans="1:10" thickTop="1" thickBot="1" x14ac:dyDescent="0.6">
      <c r="A420" s="26">
        <v>33</v>
      </c>
      <c r="D420" s="25" t="s">
        <v>1962</v>
      </c>
    </row>
    <row r="421" spans="1:10" thickTop="1" thickBot="1" x14ac:dyDescent="0.6">
      <c r="A421" s="26">
        <v>34</v>
      </c>
      <c r="D421" s="25" t="s">
        <v>1962</v>
      </c>
    </row>
    <row r="422" spans="1:10" thickTop="1" thickBot="1" x14ac:dyDescent="0.6">
      <c r="A422" s="26">
        <v>35</v>
      </c>
      <c r="B422" s="43">
        <v>1150841</v>
      </c>
      <c r="C422" s="6" t="s">
        <v>1986</v>
      </c>
      <c r="D422" s="25" t="s">
        <v>1962</v>
      </c>
      <c r="E422" s="111">
        <v>743675871</v>
      </c>
      <c r="F422" s="4">
        <v>153307</v>
      </c>
      <c r="G422" s="26">
        <v>1</v>
      </c>
      <c r="H422" s="7">
        <v>45556</v>
      </c>
      <c r="J422" s="46">
        <v>198818310399</v>
      </c>
    </row>
    <row r="423" spans="1:10" thickTop="1" thickBot="1" x14ac:dyDescent="0.6">
      <c r="A423" s="26">
        <v>36</v>
      </c>
      <c r="B423" s="43">
        <v>1151036</v>
      </c>
      <c r="C423" s="6" t="s">
        <v>1987</v>
      </c>
      <c r="D423" s="25" t="s">
        <v>1962</v>
      </c>
      <c r="E423" s="111" t="s">
        <v>1988</v>
      </c>
      <c r="F423" s="4">
        <v>296833</v>
      </c>
      <c r="G423" s="26">
        <v>1</v>
      </c>
      <c r="H423" s="7">
        <v>45595</v>
      </c>
      <c r="J423" s="4" t="s">
        <v>1989</v>
      </c>
    </row>
    <row r="424" spans="1:10" thickTop="1" thickBot="1" x14ac:dyDescent="0.6">
      <c r="A424" s="26">
        <v>37</v>
      </c>
      <c r="B424" s="43">
        <v>1150993</v>
      </c>
      <c r="C424" s="6" t="s">
        <v>1990</v>
      </c>
      <c r="D424" s="25" t="s">
        <v>1962</v>
      </c>
      <c r="E424" s="111">
        <v>775611272</v>
      </c>
      <c r="F424" s="4">
        <v>434095</v>
      </c>
      <c r="G424" s="26">
        <v>1</v>
      </c>
      <c r="H424" s="7">
        <v>45592</v>
      </c>
      <c r="J424" s="4" t="s">
        <v>1991</v>
      </c>
    </row>
    <row r="425" spans="1:10" thickTop="1" thickBot="1" x14ac:dyDescent="0.6">
      <c r="A425" s="26">
        <v>38</v>
      </c>
      <c r="D425" s="25" t="s">
        <v>1962</v>
      </c>
    </row>
    <row r="426" spans="1:10" thickTop="1" thickBot="1" x14ac:dyDescent="0.6">
      <c r="A426" s="26">
        <v>39</v>
      </c>
      <c r="B426" s="43">
        <v>1150953</v>
      </c>
      <c r="C426" s="6" t="s">
        <v>1992</v>
      </c>
      <c r="D426" s="25" t="s">
        <v>1962</v>
      </c>
      <c r="E426" s="111">
        <v>766698204</v>
      </c>
      <c r="F426" s="4">
        <v>360027</v>
      </c>
      <c r="G426" s="26">
        <v>1</v>
      </c>
      <c r="H426" s="7">
        <v>45583</v>
      </c>
      <c r="J426" s="4">
        <v>196320502570</v>
      </c>
    </row>
    <row r="427" spans="1:10" thickTop="1" thickBot="1" x14ac:dyDescent="0.6">
      <c r="A427" s="26">
        <v>40</v>
      </c>
      <c r="B427" s="43">
        <v>1151588</v>
      </c>
      <c r="C427" s="6" t="s">
        <v>3374</v>
      </c>
      <c r="D427" s="25" t="s">
        <v>1962</v>
      </c>
      <c r="E427" s="111">
        <v>761740605</v>
      </c>
      <c r="F427" s="4">
        <v>921307</v>
      </c>
      <c r="G427" s="26">
        <v>1</v>
      </c>
      <c r="H427" s="7">
        <v>45925</v>
      </c>
      <c r="J427" s="4" t="s">
        <v>3375</v>
      </c>
    </row>
    <row r="428" spans="1:10" thickTop="1" thickBot="1" x14ac:dyDescent="0.6">
      <c r="A428" s="26">
        <v>41</v>
      </c>
      <c r="B428" s="43">
        <v>1150884</v>
      </c>
      <c r="C428" s="6" t="s">
        <v>1993</v>
      </c>
      <c r="D428" s="25" t="s">
        <v>1962</v>
      </c>
      <c r="E428" s="111">
        <v>775662371</v>
      </c>
      <c r="F428" s="4">
        <v>296197</v>
      </c>
      <c r="G428" s="26">
        <v>1</v>
      </c>
      <c r="H428" s="7">
        <v>45574</v>
      </c>
    </row>
    <row r="429" spans="1:10" thickTop="1" thickBot="1" x14ac:dyDescent="0.6">
      <c r="A429" s="26">
        <v>42</v>
      </c>
      <c r="D429" s="25" t="s">
        <v>1962</v>
      </c>
      <c r="H429" s="7"/>
    </row>
    <row r="430" spans="1:10" thickTop="1" thickBot="1" x14ac:dyDescent="0.6">
      <c r="A430" s="26">
        <v>43</v>
      </c>
      <c r="D430" s="25" t="s">
        <v>1962</v>
      </c>
    </row>
    <row r="431" spans="1:10" thickTop="1" thickBot="1" x14ac:dyDescent="0.6">
      <c r="A431" s="26">
        <v>44</v>
      </c>
      <c r="D431" s="25" t="s">
        <v>1962</v>
      </c>
    </row>
    <row r="432" spans="1:10" thickTop="1" thickBot="1" x14ac:dyDescent="0.6">
      <c r="A432" s="26">
        <v>45</v>
      </c>
      <c r="D432" s="25" t="s">
        <v>1962</v>
      </c>
    </row>
    <row r="433" spans="1:10" thickTop="1" thickBot="1" x14ac:dyDescent="0.6">
      <c r="A433" s="26">
        <v>46</v>
      </c>
      <c r="D433" s="25" t="s">
        <v>1962</v>
      </c>
      <c r="H433" s="7"/>
    </row>
    <row r="434" spans="1:10" thickTop="1" thickBot="1" x14ac:dyDescent="0.6">
      <c r="A434" s="26">
        <v>47</v>
      </c>
      <c r="B434" s="43">
        <v>1150093</v>
      </c>
      <c r="C434" s="6" t="s">
        <v>3049</v>
      </c>
      <c r="D434" s="25" t="s">
        <v>1962</v>
      </c>
      <c r="E434" s="111">
        <v>776969027</v>
      </c>
      <c r="F434" s="4">
        <v>114432</v>
      </c>
      <c r="G434" s="26">
        <v>1</v>
      </c>
      <c r="H434" s="7">
        <v>45782</v>
      </c>
      <c r="J434" s="4">
        <v>200715404236</v>
      </c>
    </row>
    <row r="435" spans="1:10" thickTop="1" thickBot="1" x14ac:dyDescent="0.6">
      <c r="A435" s="26">
        <v>48</v>
      </c>
      <c r="B435" s="43">
        <v>1151138</v>
      </c>
      <c r="C435" s="6" t="s">
        <v>1994</v>
      </c>
      <c r="D435" s="25" t="s">
        <v>1962</v>
      </c>
      <c r="E435" s="111">
        <v>778372861</v>
      </c>
      <c r="F435" s="4">
        <v>117047</v>
      </c>
      <c r="G435" s="26">
        <v>1</v>
      </c>
      <c r="H435" s="7">
        <v>45605</v>
      </c>
    </row>
    <row r="436" spans="1:10" thickTop="1" thickBot="1" x14ac:dyDescent="0.6">
      <c r="A436" s="26">
        <v>49</v>
      </c>
      <c r="B436" s="43">
        <v>1150992</v>
      </c>
      <c r="C436" s="6" t="s">
        <v>1995</v>
      </c>
      <c r="D436" s="25" t="s">
        <v>1962</v>
      </c>
      <c r="E436" s="111">
        <v>764892988</v>
      </c>
      <c r="F436" s="4">
        <v>300387</v>
      </c>
      <c r="G436" s="26">
        <v>1</v>
      </c>
      <c r="H436" s="7">
        <v>45592</v>
      </c>
      <c r="J436" s="4" t="s">
        <v>1996</v>
      </c>
    </row>
    <row r="437" spans="1:10" thickTop="1" thickBot="1" x14ac:dyDescent="0.6">
      <c r="A437" s="26">
        <v>50</v>
      </c>
      <c r="D437" s="25" t="s">
        <v>1962</v>
      </c>
      <c r="H437" s="7"/>
    </row>
    <row r="438" spans="1:10" thickTop="1" thickBot="1" x14ac:dyDescent="0.6">
      <c r="A438" s="26">
        <v>51</v>
      </c>
      <c r="B438" s="43">
        <v>1151406</v>
      </c>
      <c r="C438" s="6" t="s">
        <v>2776</v>
      </c>
      <c r="D438" s="25" t="s">
        <v>1962</v>
      </c>
      <c r="E438" s="111">
        <v>777106164</v>
      </c>
      <c r="F438" s="4">
        <v>414808</v>
      </c>
      <c r="G438" s="26">
        <v>1</v>
      </c>
      <c r="H438" s="7">
        <v>45715</v>
      </c>
    </row>
    <row r="439" spans="1:10" thickTop="1" thickBot="1" x14ac:dyDescent="0.6">
      <c r="A439" s="26">
        <v>52</v>
      </c>
      <c r="D439" s="25" t="s">
        <v>1962</v>
      </c>
    </row>
    <row r="440" spans="1:10" thickTop="1" thickBot="1" x14ac:dyDescent="0.6">
      <c r="A440" s="26">
        <v>53</v>
      </c>
      <c r="D440" s="25" t="s">
        <v>1962</v>
      </c>
    </row>
    <row r="441" spans="1:10" thickTop="1" thickBot="1" x14ac:dyDescent="0.6">
      <c r="A441" s="26">
        <v>54</v>
      </c>
      <c r="D441" s="25" t="s">
        <v>1962</v>
      </c>
    </row>
    <row r="442" spans="1:10" thickTop="1" thickBot="1" x14ac:dyDescent="0.6">
      <c r="A442" s="26">
        <v>55</v>
      </c>
      <c r="B442" s="43">
        <v>1151222</v>
      </c>
      <c r="C442" s="6" t="s">
        <v>1997</v>
      </c>
      <c r="D442" s="25" t="s">
        <v>1962</v>
      </c>
      <c r="E442" s="111">
        <v>774820609</v>
      </c>
      <c r="F442" s="4">
        <v>417843</v>
      </c>
      <c r="G442" s="26">
        <v>1</v>
      </c>
      <c r="H442" s="7">
        <v>45609</v>
      </c>
    </row>
    <row r="443" spans="1:10" thickTop="1" thickBot="1" x14ac:dyDescent="0.6">
      <c r="A443" s="26">
        <v>56</v>
      </c>
      <c r="B443" s="43">
        <v>1150437</v>
      </c>
      <c r="C443" s="6" t="s">
        <v>1998</v>
      </c>
      <c r="D443" s="25" t="s">
        <v>1962</v>
      </c>
      <c r="E443" s="111">
        <v>717472988</v>
      </c>
      <c r="F443" s="4">
        <v>142102</v>
      </c>
      <c r="G443" s="26">
        <v>1</v>
      </c>
      <c r="H443" s="7">
        <v>45590</v>
      </c>
    </row>
    <row r="444" spans="1:10" thickTop="1" thickBot="1" x14ac:dyDescent="0.6">
      <c r="A444" s="26">
        <v>57</v>
      </c>
      <c r="D444" s="25" t="s">
        <v>1962</v>
      </c>
    </row>
    <row r="445" spans="1:10" thickTop="1" thickBot="1" x14ac:dyDescent="0.6">
      <c r="A445" s="26">
        <v>58</v>
      </c>
      <c r="B445" s="43">
        <v>1151275</v>
      </c>
      <c r="C445" s="6" t="s">
        <v>1999</v>
      </c>
      <c r="D445" s="25" t="s">
        <v>1962</v>
      </c>
      <c r="E445" s="111">
        <v>762965556</v>
      </c>
      <c r="F445" s="4">
        <v>351273</v>
      </c>
      <c r="G445" s="26">
        <v>1</v>
      </c>
      <c r="H445" s="7">
        <v>45610</v>
      </c>
    </row>
    <row r="446" spans="1:10" thickTop="1" thickBot="1" x14ac:dyDescent="0.6">
      <c r="A446" s="26">
        <v>59</v>
      </c>
      <c r="B446" s="43">
        <v>1150213</v>
      </c>
      <c r="C446" s="6" t="s">
        <v>2000</v>
      </c>
      <c r="D446" s="25" t="s">
        <v>1962</v>
      </c>
      <c r="E446" s="111">
        <v>779490736</v>
      </c>
      <c r="F446" s="4">
        <v>734497</v>
      </c>
      <c r="G446" s="26">
        <v>1</v>
      </c>
      <c r="I446" s="7">
        <v>44369</v>
      </c>
      <c r="J446" s="4" t="s">
        <v>2001</v>
      </c>
    </row>
    <row r="447" spans="1:10" thickTop="1" thickBot="1" x14ac:dyDescent="0.6">
      <c r="A447" s="26">
        <v>1</v>
      </c>
      <c r="B447" s="43">
        <v>1150147</v>
      </c>
      <c r="C447" s="6" t="s">
        <v>2834</v>
      </c>
      <c r="D447" s="25" t="s">
        <v>2002</v>
      </c>
      <c r="E447" s="111">
        <v>769014009</v>
      </c>
      <c r="F447" s="4">
        <v>589080</v>
      </c>
      <c r="G447" s="26">
        <v>1</v>
      </c>
    </row>
    <row r="448" spans="1:10" thickTop="1" thickBot="1" x14ac:dyDescent="0.6">
      <c r="A448" s="26">
        <v>2</v>
      </c>
      <c r="D448" s="25" t="s">
        <v>2002</v>
      </c>
    </row>
    <row r="449" spans="1:10" thickTop="1" thickBot="1" x14ac:dyDescent="0.6">
      <c r="A449" s="26">
        <v>3</v>
      </c>
      <c r="D449" s="25" t="s">
        <v>2002</v>
      </c>
    </row>
    <row r="450" spans="1:10" thickTop="1" thickBot="1" x14ac:dyDescent="0.6">
      <c r="A450" s="26">
        <v>4</v>
      </c>
      <c r="D450" s="25" t="s">
        <v>2002</v>
      </c>
    </row>
    <row r="451" spans="1:10" thickTop="1" thickBot="1" x14ac:dyDescent="0.6">
      <c r="A451" s="26">
        <v>5</v>
      </c>
      <c r="D451" s="25" t="s">
        <v>2002</v>
      </c>
    </row>
    <row r="452" spans="1:10" thickTop="1" thickBot="1" x14ac:dyDescent="0.6">
      <c r="A452" s="26">
        <v>6</v>
      </c>
      <c r="B452" s="43">
        <v>1151415</v>
      </c>
      <c r="C452" s="6" t="s">
        <v>3354</v>
      </c>
      <c r="D452" s="25" t="s">
        <v>2002</v>
      </c>
      <c r="E452" s="111">
        <v>774348085</v>
      </c>
      <c r="F452" s="4">
        <v>636749</v>
      </c>
      <c r="G452" s="26">
        <v>1</v>
      </c>
      <c r="H452" s="7">
        <v>45719</v>
      </c>
      <c r="J452" s="4">
        <v>200031104673</v>
      </c>
    </row>
    <row r="453" spans="1:10" thickTop="1" thickBot="1" x14ac:dyDescent="0.6">
      <c r="A453" s="26">
        <v>7</v>
      </c>
      <c r="B453" s="43">
        <v>1150983</v>
      </c>
      <c r="C453" s="6" t="s">
        <v>2004</v>
      </c>
      <c r="D453" s="25" t="s">
        <v>2002</v>
      </c>
      <c r="E453" s="111" t="s">
        <v>2005</v>
      </c>
      <c r="F453" s="4">
        <v>264963</v>
      </c>
      <c r="G453" s="26">
        <v>1</v>
      </c>
      <c r="H453" s="7">
        <v>45590</v>
      </c>
      <c r="J453" s="8"/>
    </row>
    <row r="454" spans="1:10" thickTop="1" thickBot="1" x14ac:dyDescent="0.6">
      <c r="A454" s="26">
        <v>8</v>
      </c>
      <c r="B454" s="43">
        <v>1151327</v>
      </c>
      <c r="C454" s="6" t="s">
        <v>2006</v>
      </c>
      <c r="D454" s="25" t="s">
        <v>2002</v>
      </c>
      <c r="E454" s="111">
        <v>710647109</v>
      </c>
      <c r="F454" s="4">
        <v>303746</v>
      </c>
      <c r="G454" s="26">
        <v>1</v>
      </c>
      <c r="H454" s="7">
        <v>45627</v>
      </c>
      <c r="J454" s="4" t="s">
        <v>2007</v>
      </c>
    </row>
    <row r="455" spans="1:10" thickTop="1" thickBot="1" x14ac:dyDescent="0.6">
      <c r="A455" s="26">
        <v>9</v>
      </c>
      <c r="B455" s="43">
        <v>1150480</v>
      </c>
      <c r="C455" s="6" t="s">
        <v>2008</v>
      </c>
      <c r="D455" s="25" t="s">
        <v>2002</v>
      </c>
      <c r="E455" s="111">
        <v>767023915</v>
      </c>
      <c r="F455" s="4" t="str">
        <f>"0"&amp;66756</f>
        <v>066756</v>
      </c>
      <c r="G455" s="26">
        <v>1</v>
      </c>
      <c r="I455" s="7">
        <v>45099</v>
      </c>
    </row>
    <row r="456" spans="1:10" thickTop="1" thickBot="1" x14ac:dyDescent="0.6">
      <c r="A456" s="26">
        <v>10</v>
      </c>
      <c r="D456" s="25" t="s">
        <v>2002</v>
      </c>
    </row>
    <row r="457" spans="1:10" thickTop="1" thickBot="1" x14ac:dyDescent="0.6">
      <c r="A457" s="26">
        <v>11</v>
      </c>
      <c r="D457" s="25" t="s">
        <v>2002</v>
      </c>
    </row>
    <row r="458" spans="1:10" thickTop="1" thickBot="1" x14ac:dyDescent="0.6">
      <c r="A458" s="26">
        <v>12</v>
      </c>
      <c r="B458" s="43">
        <v>1150814</v>
      </c>
      <c r="C458" s="6" t="s">
        <v>2009</v>
      </c>
      <c r="D458" s="25" t="s">
        <v>2002</v>
      </c>
      <c r="E458" s="111">
        <v>776290161</v>
      </c>
      <c r="F458" s="4">
        <v>134935</v>
      </c>
      <c r="G458" s="26">
        <v>1</v>
      </c>
      <c r="H458" s="7">
        <v>45536</v>
      </c>
    </row>
    <row r="459" spans="1:10" thickTop="1" thickBot="1" x14ac:dyDescent="0.6">
      <c r="A459" s="26">
        <v>13</v>
      </c>
      <c r="D459" s="25" t="s">
        <v>2002</v>
      </c>
    </row>
    <row r="460" spans="1:10" thickTop="1" thickBot="1" x14ac:dyDescent="0.6">
      <c r="A460" s="26">
        <v>14</v>
      </c>
      <c r="B460" s="43">
        <v>1151344</v>
      </c>
      <c r="C460" s="6" t="s">
        <v>2011</v>
      </c>
      <c r="D460" s="25" t="s">
        <v>2002</v>
      </c>
      <c r="E460" s="111">
        <v>763306044</v>
      </c>
      <c r="F460" s="4">
        <v>338064</v>
      </c>
      <c r="G460" s="26">
        <v>1</v>
      </c>
      <c r="H460" s="7">
        <v>45641</v>
      </c>
      <c r="J460" s="4" t="s">
        <v>2012</v>
      </c>
    </row>
    <row r="461" spans="1:10" thickTop="1" thickBot="1" x14ac:dyDescent="0.6">
      <c r="A461" s="26">
        <v>15</v>
      </c>
      <c r="D461" s="25" t="s">
        <v>2002</v>
      </c>
    </row>
    <row r="462" spans="1:10" thickTop="1" thickBot="1" x14ac:dyDescent="0.6">
      <c r="A462" s="26">
        <v>16</v>
      </c>
      <c r="D462" s="25" t="s">
        <v>2002</v>
      </c>
    </row>
    <row r="463" spans="1:10" thickTop="1" thickBot="1" x14ac:dyDescent="0.6">
      <c r="A463" s="26">
        <v>17</v>
      </c>
      <c r="D463" s="25" t="s">
        <v>2002</v>
      </c>
    </row>
    <row r="464" spans="1:10" thickTop="1" thickBot="1" x14ac:dyDescent="0.6">
      <c r="A464" s="26">
        <v>18</v>
      </c>
      <c r="D464" s="25" t="s">
        <v>2002</v>
      </c>
    </row>
    <row r="465" spans="1:10" thickTop="1" thickBot="1" x14ac:dyDescent="0.6">
      <c r="A465" s="26">
        <v>19</v>
      </c>
      <c r="D465" s="25" t="s">
        <v>2002</v>
      </c>
    </row>
    <row r="466" spans="1:10" thickTop="1" thickBot="1" x14ac:dyDescent="0.6">
      <c r="A466" s="26">
        <v>20</v>
      </c>
      <c r="D466" s="25" t="s">
        <v>2002</v>
      </c>
    </row>
    <row r="467" spans="1:10" thickTop="1" thickBot="1" x14ac:dyDescent="0.6">
      <c r="A467" s="26">
        <v>21</v>
      </c>
      <c r="D467" s="25" t="s">
        <v>2002</v>
      </c>
    </row>
    <row r="468" spans="1:10" thickTop="1" thickBot="1" x14ac:dyDescent="0.6">
      <c r="A468" s="26">
        <v>22</v>
      </c>
      <c r="D468" s="25" t="s">
        <v>2002</v>
      </c>
    </row>
    <row r="469" spans="1:10" thickTop="1" thickBot="1" x14ac:dyDescent="0.6">
      <c r="A469" s="26">
        <v>23</v>
      </c>
      <c r="D469" s="25" t="s">
        <v>2002</v>
      </c>
    </row>
    <row r="470" spans="1:10" thickTop="1" thickBot="1" x14ac:dyDescent="0.6">
      <c r="A470" s="26">
        <v>24</v>
      </c>
      <c r="B470" s="43">
        <v>1150908</v>
      </c>
      <c r="C470" s="6" t="s">
        <v>2013</v>
      </c>
      <c r="D470" s="25" t="s">
        <v>2002</v>
      </c>
      <c r="E470" s="111">
        <v>775252947</v>
      </c>
      <c r="F470" s="4">
        <v>250780</v>
      </c>
      <c r="G470" s="26">
        <v>1</v>
      </c>
      <c r="H470" s="7">
        <v>45577</v>
      </c>
      <c r="J470" s="4" t="s">
        <v>2014</v>
      </c>
    </row>
    <row r="471" spans="1:10" thickTop="1" thickBot="1" x14ac:dyDescent="0.6">
      <c r="A471" s="26">
        <v>25</v>
      </c>
      <c r="B471" s="43">
        <v>1150060</v>
      </c>
      <c r="C471" s="6" t="s">
        <v>2015</v>
      </c>
      <c r="D471" s="25" t="s">
        <v>2002</v>
      </c>
      <c r="E471" s="111">
        <v>779674605</v>
      </c>
      <c r="F471" s="4">
        <v>566633</v>
      </c>
      <c r="G471" s="26">
        <v>1</v>
      </c>
      <c r="H471" s="7">
        <v>45499</v>
      </c>
    </row>
    <row r="472" spans="1:10" thickTop="1" thickBot="1" x14ac:dyDescent="0.6">
      <c r="A472" s="26">
        <v>26</v>
      </c>
      <c r="B472" s="43">
        <v>1151103</v>
      </c>
      <c r="C472" s="6" t="s">
        <v>2016</v>
      </c>
      <c r="D472" s="25" t="s">
        <v>2002</v>
      </c>
      <c r="E472" s="111">
        <v>776835245</v>
      </c>
      <c r="F472" s="4">
        <v>189103</v>
      </c>
      <c r="G472" s="26">
        <v>1</v>
      </c>
      <c r="H472" s="7">
        <v>45603</v>
      </c>
      <c r="J472" s="4">
        <v>197523403128</v>
      </c>
    </row>
    <row r="473" spans="1:10" thickTop="1" thickBot="1" x14ac:dyDescent="0.6">
      <c r="A473" s="26">
        <v>27</v>
      </c>
      <c r="B473" s="43">
        <v>1151031</v>
      </c>
      <c r="C473" s="6" t="s">
        <v>2017</v>
      </c>
      <c r="D473" s="25" t="s">
        <v>2002</v>
      </c>
      <c r="E473" s="111">
        <v>765589823</v>
      </c>
      <c r="F473" s="4">
        <v>381916</v>
      </c>
      <c r="G473" s="26">
        <v>1</v>
      </c>
      <c r="H473" s="7">
        <v>45594</v>
      </c>
      <c r="J473" s="4" t="s">
        <v>2018</v>
      </c>
    </row>
    <row r="474" spans="1:10" thickTop="1" thickBot="1" x14ac:dyDescent="0.6">
      <c r="A474" s="26">
        <v>28</v>
      </c>
      <c r="B474" s="43">
        <v>1151304</v>
      </c>
      <c r="C474" s="6" t="s">
        <v>2019</v>
      </c>
      <c r="D474" s="25" t="s">
        <v>2002</v>
      </c>
      <c r="F474" s="4">
        <v>222110</v>
      </c>
      <c r="G474" s="26">
        <v>1</v>
      </c>
      <c r="H474" s="7">
        <v>45618</v>
      </c>
    </row>
    <row r="475" spans="1:10" thickTop="1" thickBot="1" x14ac:dyDescent="0.6">
      <c r="A475" s="26">
        <v>29</v>
      </c>
      <c r="B475" s="43">
        <v>1150780</v>
      </c>
      <c r="C475" s="6" t="s">
        <v>2020</v>
      </c>
      <c r="D475" s="25" t="s">
        <v>2002</v>
      </c>
      <c r="E475" s="111" t="s">
        <v>2021</v>
      </c>
      <c r="F475" s="4">
        <v>125982</v>
      </c>
      <c r="G475" s="26">
        <v>1</v>
      </c>
      <c r="H475" s="7">
        <v>45524</v>
      </c>
      <c r="J475" s="4">
        <v>200450312874</v>
      </c>
    </row>
    <row r="476" spans="1:10" thickTop="1" thickBot="1" x14ac:dyDescent="0.6">
      <c r="A476" s="26">
        <v>30</v>
      </c>
      <c r="B476" s="43">
        <v>1151248</v>
      </c>
      <c r="C476" s="6" t="s">
        <v>2022</v>
      </c>
      <c r="D476" s="25" t="s">
        <v>2002</v>
      </c>
      <c r="E476" s="111" t="s">
        <v>2023</v>
      </c>
      <c r="F476" s="4">
        <v>316698</v>
      </c>
      <c r="G476" s="26">
        <v>1</v>
      </c>
      <c r="H476" s="7">
        <v>45609</v>
      </c>
    </row>
    <row r="477" spans="1:10" thickTop="1" thickBot="1" x14ac:dyDescent="0.6">
      <c r="A477" s="26">
        <v>31</v>
      </c>
      <c r="B477" s="43">
        <v>1150745</v>
      </c>
      <c r="C477" s="6" t="s">
        <v>2024</v>
      </c>
      <c r="D477" s="25" t="s">
        <v>2002</v>
      </c>
      <c r="E477" s="111">
        <v>758702846</v>
      </c>
      <c r="F477" s="4" t="str">
        <f>"0"&amp;35884</f>
        <v>035884</v>
      </c>
      <c r="G477" s="26">
        <v>1</v>
      </c>
      <c r="H477" s="7">
        <v>45492</v>
      </c>
      <c r="J477" s="4" t="s">
        <v>2025</v>
      </c>
    </row>
    <row r="478" spans="1:10" thickTop="1" thickBot="1" x14ac:dyDescent="0.6">
      <c r="A478" s="26">
        <v>32</v>
      </c>
      <c r="B478" s="43">
        <v>1151224</v>
      </c>
      <c r="C478" s="6" t="s">
        <v>2026</v>
      </c>
      <c r="D478" s="25" t="s">
        <v>2002</v>
      </c>
      <c r="E478" s="111">
        <v>742385241</v>
      </c>
      <c r="F478" s="4">
        <v>211527</v>
      </c>
      <c r="G478" s="26">
        <v>1</v>
      </c>
      <c r="H478" s="7">
        <v>45609</v>
      </c>
      <c r="J478" s="4" t="s">
        <v>2027</v>
      </c>
    </row>
    <row r="479" spans="1:10" thickTop="1" thickBot="1" x14ac:dyDescent="0.6">
      <c r="A479" s="26">
        <v>33</v>
      </c>
      <c r="B479" s="43">
        <v>1150611</v>
      </c>
      <c r="C479" s="6" t="s">
        <v>3447</v>
      </c>
      <c r="D479" s="25" t="s">
        <v>2002</v>
      </c>
      <c r="E479" s="111" t="s">
        <v>2028</v>
      </c>
      <c r="F479" s="4">
        <v>138704</v>
      </c>
      <c r="G479" s="26">
        <v>1</v>
      </c>
      <c r="H479" s="7">
        <v>45656</v>
      </c>
      <c r="J479" s="4" t="s">
        <v>2029</v>
      </c>
    </row>
    <row r="480" spans="1:10" thickTop="1" thickBot="1" x14ac:dyDescent="0.6">
      <c r="A480" s="26">
        <v>34</v>
      </c>
      <c r="B480" s="43">
        <v>1150454</v>
      </c>
      <c r="C480" s="6" t="s">
        <v>2030</v>
      </c>
      <c r="D480" s="25" t="s">
        <v>2002</v>
      </c>
      <c r="E480" s="111">
        <v>713126315</v>
      </c>
      <c r="F480" s="4">
        <v>127087</v>
      </c>
      <c r="G480" s="26">
        <v>1</v>
      </c>
      <c r="H480" s="7">
        <v>45040</v>
      </c>
      <c r="I480" s="7">
        <v>45040</v>
      </c>
      <c r="J480" s="5" t="s">
        <v>2031</v>
      </c>
    </row>
    <row r="481" spans="1:10" thickTop="1" thickBot="1" x14ac:dyDescent="0.6">
      <c r="A481" s="26">
        <v>35</v>
      </c>
      <c r="B481" s="43">
        <v>1150756</v>
      </c>
      <c r="C481" s="6" t="s">
        <v>2032</v>
      </c>
      <c r="D481" s="25" t="s">
        <v>2002</v>
      </c>
      <c r="E481" s="111">
        <v>719708831</v>
      </c>
      <c r="F481" s="4">
        <v>114481</v>
      </c>
      <c r="G481" s="26">
        <v>1</v>
      </c>
      <c r="H481" s="7">
        <v>45498</v>
      </c>
      <c r="J481" s="4" t="s">
        <v>2033</v>
      </c>
    </row>
    <row r="482" spans="1:10" thickTop="1" thickBot="1" x14ac:dyDescent="0.6">
      <c r="A482" s="26">
        <v>36</v>
      </c>
      <c r="B482" s="43">
        <v>1151197</v>
      </c>
      <c r="C482" s="6" t="s">
        <v>2034</v>
      </c>
      <c r="D482" s="25" t="s">
        <v>2002</v>
      </c>
      <c r="E482" s="111">
        <v>762379931</v>
      </c>
      <c r="F482" s="4">
        <v>353634</v>
      </c>
      <c r="G482" s="26">
        <v>1</v>
      </c>
      <c r="H482" s="7">
        <v>45607</v>
      </c>
      <c r="J482" s="4" t="s">
        <v>2035</v>
      </c>
    </row>
    <row r="483" spans="1:10" thickTop="1" thickBot="1" x14ac:dyDescent="0.6">
      <c r="A483" s="26">
        <v>37</v>
      </c>
      <c r="D483" s="25" t="s">
        <v>2002</v>
      </c>
    </row>
    <row r="484" spans="1:10" thickTop="1" thickBot="1" x14ac:dyDescent="0.6">
      <c r="A484" s="26">
        <v>38</v>
      </c>
      <c r="B484" s="43">
        <v>1150600</v>
      </c>
      <c r="C484" s="6" t="s">
        <v>2036</v>
      </c>
      <c r="D484" s="25" t="s">
        <v>2002</v>
      </c>
      <c r="E484" s="111">
        <v>787137530</v>
      </c>
      <c r="F484" s="4">
        <v>159338</v>
      </c>
      <c r="G484" s="26">
        <v>1</v>
      </c>
      <c r="H484" s="7">
        <v>45506</v>
      </c>
      <c r="J484" s="4" t="s">
        <v>2037</v>
      </c>
    </row>
    <row r="485" spans="1:10" thickTop="1" thickBot="1" x14ac:dyDescent="0.6">
      <c r="A485" s="26">
        <v>39</v>
      </c>
      <c r="B485" s="43">
        <v>1150775</v>
      </c>
      <c r="C485" s="6" t="s">
        <v>2038</v>
      </c>
      <c r="D485" s="25" t="s">
        <v>2002</v>
      </c>
      <c r="E485" s="111">
        <v>772152144</v>
      </c>
      <c r="F485" s="4">
        <v>102866</v>
      </c>
      <c r="G485" s="26">
        <v>1</v>
      </c>
      <c r="H485" s="7">
        <v>45523</v>
      </c>
      <c r="J485" s="4" t="s">
        <v>2039</v>
      </c>
    </row>
    <row r="486" spans="1:10" thickTop="1" thickBot="1" x14ac:dyDescent="0.6">
      <c r="A486" s="26">
        <v>40</v>
      </c>
      <c r="B486" s="43">
        <v>1151280</v>
      </c>
      <c r="C486" s="6" t="s">
        <v>2040</v>
      </c>
      <c r="D486" s="25" t="s">
        <v>2002</v>
      </c>
      <c r="E486" s="111">
        <v>768705618</v>
      </c>
      <c r="F486" s="4">
        <v>169683</v>
      </c>
      <c r="G486" s="26">
        <v>1</v>
      </c>
      <c r="H486" s="7">
        <v>45610</v>
      </c>
    </row>
    <row r="487" spans="1:10" thickTop="1" thickBot="1" x14ac:dyDescent="0.6">
      <c r="A487" s="26">
        <v>41</v>
      </c>
      <c r="D487" s="25" t="s">
        <v>2002</v>
      </c>
    </row>
    <row r="488" spans="1:10" thickTop="1" thickBot="1" x14ac:dyDescent="0.6">
      <c r="A488" s="26">
        <v>42</v>
      </c>
      <c r="D488" s="25" t="s">
        <v>2002</v>
      </c>
    </row>
    <row r="489" spans="1:10" thickTop="1" thickBot="1" x14ac:dyDescent="0.6">
      <c r="A489" s="26">
        <v>43</v>
      </c>
      <c r="B489" s="43">
        <v>1150905</v>
      </c>
      <c r="C489" s="6" t="s">
        <v>3072</v>
      </c>
      <c r="D489" s="25" t="s">
        <v>2002</v>
      </c>
      <c r="E489" s="111">
        <v>776968959</v>
      </c>
      <c r="F489" s="4">
        <v>411499</v>
      </c>
      <c r="G489" s="26">
        <v>1</v>
      </c>
      <c r="H489" s="7">
        <v>45576</v>
      </c>
      <c r="J489" s="4" t="s">
        <v>2041</v>
      </c>
    </row>
    <row r="490" spans="1:10" thickTop="1" thickBot="1" x14ac:dyDescent="0.6">
      <c r="A490" s="26">
        <v>44</v>
      </c>
      <c r="D490" s="25" t="s">
        <v>2002</v>
      </c>
    </row>
    <row r="491" spans="1:10" thickTop="1" thickBot="1" x14ac:dyDescent="0.6">
      <c r="A491" s="26">
        <v>45</v>
      </c>
      <c r="B491" s="43">
        <v>1151191</v>
      </c>
      <c r="C491" s="6" t="s">
        <v>2042</v>
      </c>
      <c r="D491" s="25" t="s">
        <v>2002</v>
      </c>
      <c r="E491" s="111">
        <v>767660832</v>
      </c>
      <c r="F491" s="4">
        <v>325830</v>
      </c>
      <c r="G491" s="26">
        <v>1</v>
      </c>
      <c r="H491" s="7">
        <v>45606</v>
      </c>
      <c r="J491" s="4" t="s">
        <v>2043</v>
      </c>
    </row>
    <row r="492" spans="1:10" thickTop="1" thickBot="1" x14ac:dyDescent="0.6">
      <c r="A492" s="26">
        <v>46</v>
      </c>
      <c r="B492" s="43">
        <v>1151127</v>
      </c>
      <c r="C492" s="6" t="s">
        <v>2044</v>
      </c>
      <c r="D492" s="25" t="s">
        <v>2002</v>
      </c>
      <c r="E492" s="111">
        <v>719030542</v>
      </c>
      <c r="F492" s="4">
        <v>369655</v>
      </c>
      <c r="G492" s="26">
        <v>1</v>
      </c>
      <c r="H492" s="7">
        <v>45604</v>
      </c>
      <c r="J492" s="4" t="s">
        <v>2045</v>
      </c>
    </row>
    <row r="493" spans="1:10" thickTop="1" thickBot="1" x14ac:dyDescent="0.6">
      <c r="A493" s="26">
        <v>47</v>
      </c>
      <c r="D493" s="25" t="s">
        <v>2002</v>
      </c>
    </row>
    <row r="494" spans="1:10" thickTop="1" thickBot="1" x14ac:dyDescent="0.6">
      <c r="A494" s="26">
        <v>48</v>
      </c>
      <c r="D494" s="25" t="s">
        <v>2002</v>
      </c>
    </row>
    <row r="495" spans="1:10" thickTop="1" thickBot="1" x14ac:dyDescent="0.6">
      <c r="A495" s="26">
        <v>49</v>
      </c>
      <c r="D495" s="25" t="s">
        <v>2002</v>
      </c>
    </row>
    <row r="496" spans="1:10" thickTop="1" thickBot="1" x14ac:dyDescent="0.6">
      <c r="A496" s="26">
        <v>50</v>
      </c>
      <c r="D496" s="25" t="s">
        <v>2002</v>
      </c>
    </row>
    <row r="497" spans="1:10" thickTop="1" thickBot="1" x14ac:dyDescent="0.6">
      <c r="A497" s="26">
        <v>51</v>
      </c>
      <c r="D497" s="25" t="s">
        <v>2002</v>
      </c>
    </row>
    <row r="498" spans="1:10" thickTop="1" thickBot="1" x14ac:dyDescent="0.6">
      <c r="A498" s="26">
        <v>52</v>
      </c>
      <c r="D498" s="25" t="s">
        <v>2002</v>
      </c>
    </row>
    <row r="499" spans="1:10" thickTop="1" thickBot="1" x14ac:dyDescent="0.6">
      <c r="A499" s="26">
        <v>53</v>
      </c>
      <c r="D499" s="25" t="s">
        <v>2002</v>
      </c>
    </row>
    <row r="500" spans="1:10" thickTop="1" thickBot="1" x14ac:dyDescent="0.6">
      <c r="A500" s="26">
        <v>54</v>
      </c>
      <c r="D500" s="25" t="s">
        <v>2002</v>
      </c>
    </row>
    <row r="501" spans="1:10" thickTop="1" thickBot="1" x14ac:dyDescent="0.6">
      <c r="A501" s="26">
        <v>55</v>
      </c>
      <c r="D501" s="25" t="s">
        <v>2002</v>
      </c>
    </row>
    <row r="502" spans="1:10" thickTop="1" thickBot="1" x14ac:dyDescent="0.6">
      <c r="A502" s="26">
        <v>56</v>
      </c>
      <c r="D502" s="25" t="s">
        <v>2002</v>
      </c>
    </row>
    <row r="503" spans="1:10" thickTop="1" thickBot="1" x14ac:dyDescent="0.6">
      <c r="A503" s="26">
        <v>57</v>
      </c>
      <c r="D503" s="25" t="s">
        <v>2002</v>
      </c>
    </row>
    <row r="504" spans="1:10" thickTop="1" thickBot="1" x14ac:dyDescent="0.6">
      <c r="A504" s="26">
        <v>58</v>
      </c>
      <c r="D504" s="25" t="s">
        <v>2002</v>
      </c>
    </row>
    <row r="505" spans="1:10" thickTop="1" thickBot="1" x14ac:dyDescent="0.6">
      <c r="A505" s="26">
        <v>59</v>
      </c>
      <c r="B505" s="43">
        <v>1150703</v>
      </c>
      <c r="C505" s="6" t="s">
        <v>2047</v>
      </c>
      <c r="D505" s="25" t="s">
        <v>2002</v>
      </c>
      <c r="E505" s="111">
        <v>713907380</v>
      </c>
      <c r="F505" s="4">
        <v>100076</v>
      </c>
      <c r="G505" s="26">
        <v>1</v>
      </c>
      <c r="H505" s="7">
        <v>45468</v>
      </c>
      <c r="J505" s="4" t="s">
        <v>2048</v>
      </c>
    </row>
    <row r="506" spans="1:10" thickTop="1" thickBot="1" x14ac:dyDescent="0.6">
      <c r="A506" s="26">
        <v>60</v>
      </c>
      <c r="B506" s="43">
        <v>1151227</v>
      </c>
      <c r="C506" s="6" t="s">
        <v>2049</v>
      </c>
      <c r="D506" s="25" t="s">
        <v>2002</v>
      </c>
      <c r="E506" s="111">
        <v>764008233</v>
      </c>
      <c r="F506" s="4">
        <v>314222</v>
      </c>
      <c r="G506" s="26">
        <v>1</v>
      </c>
      <c r="H506" s="7">
        <v>45609</v>
      </c>
      <c r="J506" s="4">
        <v>200258010409</v>
      </c>
    </row>
    <row r="507" spans="1:10" thickTop="1" thickBot="1" x14ac:dyDescent="0.6">
      <c r="A507" s="26">
        <v>61</v>
      </c>
      <c r="B507" s="43">
        <v>1151128</v>
      </c>
      <c r="C507" s="6" t="s">
        <v>2050</v>
      </c>
      <c r="D507" s="25" t="s">
        <v>2002</v>
      </c>
      <c r="E507" s="111">
        <v>783579164</v>
      </c>
      <c r="F507" s="4">
        <v>279367</v>
      </c>
      <c r="G507" s="26">
        <v>1</v>
      </c>
      <c r="H507" s="7">
        <v>45604</v>
      </c>
      <c r="J507" s="4" t="s">
        <v>2051</v>
      </c>
    </row>
    <row r="508" spans="1:10" thickTop="1" thickBot="1" x14ac:dyDescent="0.6">
      <c r="A508" s="26">
        <v>62</v>
      </c>
      <c r="B508" s="43">
        <v>1151028</v>
      </c>
      <c r="C508" s="6" t="s">
        <v>2052</v>
      </c>
      <c r="D508" s="25" t="s">
        <v>2002</v>
      </c>
      <c r="E508" s="111">
        <v>778122012</v>
      </c>
      <c r="F508" s="4">
        <v>274830</v>
      </c>
      <c r="G508" s="26">
        <v>1</v>
      </c>
      <c r="H508" s="7">
        <v>45594</v>
      </c>
      <c r="J508" s="4" t="s">
        <v>2053</v>
      </c>
    </row>
    <row r="509" spans="1:10" thickTop="1" thickBot="1" x14ac:dyDescent="0.6">
      <c r="A509" s="26">
        <v>63</v>
      </c>
      <c r="D509" s="25" t="s">
        <v>2002</v>
      </c>
    </row>
    <row r="510" spans="1:10" thickTop="1" thickBot="1" x14ac:dyDescent="0.6">
      <c r="A510" s="26">
        <v>64</v>
      </c>
      <c r="D510" s="25" t="s">
        <v>2002</v>
      </c>
      <c r="H510" s="7"/>
    </row>
    <row r="511" spans="1:10" thickTop="1" thickBot="1" x14ac:dyDescent="0.6">
      <c r="A511" s="26">
        <v>65</v>
      </c>
      <c r="D511" s="25" t="s">
        <v>2002</v>
      </c>
    </row>
    <row r="512" spans="1:10" thickTop="1" thickBot="1" x14ac:dyDescent="0.6">
      <c r="A512" s="26">
        <v>66</v>
      </c>
      <c r="D512" s="25" t="s">
        <v>2002</v>
      </c>
    </row>
    <row r="513" spans="1:10" thickTop="1" thickBot="1" x14ac:dyDescent="0.6">
      <c r="A513" s="26">
        <v>67</v>
      </c>
      <c r="D513" s="25" t="s">
        <v>2002</v>
      </c>
    </row>
    <row r="514" spans="1:10" thickTop="1" thickBot="1" x14ac:dyDescent="0.6">
      <c r="A514" s="26">
        <v>68</v>
      </c>
      <c r="D514" s="25" t="s">
        <v>2002</v>
      </c>
    </row>
    <row r="515" spans="1:10" thickTop="1" thickBot="1" x14ac:dyDescent="0.6">
      <c r="A515" s="26">
        <v>69</v>
      </c>
      <c r="D515" s="25" t="s">
        <v>2002</v>
      </c>
    </row>
    <row r="516" spans="1:10" thickTop="1" thickBot="1" x14ac:dyDescent="0.6">
      <c r="A516" s="26">
        <v>70</v>
      </c>
      <c r="B516" s="43">
        <v>1150807</v>
      </c>
      <c r="C516" s="6" t="s">
        <v>2838</v>
      </c>
      <c r="D516" s="25" t="s">
        <v>2002</v>
      </c>
      <c r="E516" s="111">
        <v>774936400</v>
      </c>
      <c r="F516" s="4">
        <v>44696</v>
      </c>
      <c r="G516" s="26">
        <v>1</v>
      </c>
      <c r="H516" s="7">
        <v>45533</v>
      </c>
    </row>
    <row r="517" spans="1:10" thickTop="1" thickBot="1" x14ac:dyDescent="0.6">
      <c r="A517" s="26">
        <v>71</v>
      </c>
      <c r="B517" s="43">
        <v>1151023</v>
      </c>
      <c r="C517" s="6" t="s">
        <v>2054</v>
      </c>
      <c r="D517" s="25" t="s">
        <v>2002</v>
      </c>
      <c r="E517" s="111">
        <v>742675814</v>
      </c>
      <c r="F517" s="4">
        <v>225956</v>
      </c>
      <c r="G517" s="26">
        <v>1</v>
      </c>
      <c r="H517" s="7">
        <v>45594</v>
      </c>
      <c r="J517" s="4">
        <v>200572001989</v>
      </c>
    </row>
    <row r="518" spans="1:10" thickTop="1" thickBot="1" x14ac:dyDescent="0.6">
      <c r="A518" s="26">
        <v>72</v>
      </c>
      <c r="D518" s="25" t="s">
        <v>2002</v>
      </c>
    </row>
    <row r="519" spans="1:10" thickTop="1" thickBot="1" x14ac:dyDescent="0.6">
      <c r="A519" s="26">
        <v>73</v>
      </c>
      <c r="D519" s="25" t="s">
        <v>2002</v>
      </c>
    </row>
    <row r="520" spans="1:10" thickTop="1" thickBot="1" x14ac:dyDescent="0.6">
      <c r="A520" s="26">
        <v>74</v>
      </c>
      <c r="B520" s="43">
        <v>1150367</v>
      </c>
      <c r="C520" s="6" t="s">
        <v>2055</v>
      </c>
      <c r="D520" s="25" t="s">
        <v>2002</v>
      </c>
      <c r="E520" s="111">
        <v>719194637</v>
      </c>
      <c r="F520" s="4">
        <v>276795</v>
      </c>
      <c r="G520" s="26">
        <v>1</v>
      </c>
      <c r="I520" s="7">
        <v>45199</v>
      </c>
      <c r="J520" s="5" t="s">
        <v>2056</v>
      </c>
    </row>
    <row r="521" spans="1:10" thickTop="1" thickBot="1" x14ac:dyDescent="0.6">
      <c r="A521" s="26">
        <v>75</v>
      </c>
      <c r="B521" s="43">
        <v>1150365</v>
      </c>
      <c r="C521" s="6" t="s">
        <v>2057</v>
      </c>
      <c r="D521" s="25" t="s">
        <v>2002</v>
      </c>
      <c r="E521" s="111">
        <v>762100490</v>
      </c>
      <c r="F521" s="4">
        <v>280565</v>
      </c>
      <c r="G521" s="26">
        <v>1</v>
      </c>
      <c r="I521" s="7">
        <v>44834</v>
      </c>
      <c r="J521" s="5">
        <v>198406103186</v>
      </c>
    </row>
    <row r="522" spans="1:10" thickTop="1" thickBot="1" x14ac:dyDescent="0.6">
      <c r="A522" s="26">
        <v>76</v>
      </c>
      <c r="D522" s="25" t="s">
        <v>2002</v>
      </c>
    </row>
    <row r="523" spans="1:10" thickTop="1" thickBot="1" x14ac:dyDescent="0.6">
      <c r="A523" s="26">
        <v>77</v>
      </c>
      <c r="D523" s="25" t="s">
        <v>2002</v>
      </c>
    </row>
    <row r="524" spans="1:10" thickTop="1" thickBot="1" x14ac:dyDescent="0.6">
      <c r="A524" s="26">
        <v>78</v>
      </c>
      <c r="B524" s="43">
        <v>1150113</v>
      </c>
      <c r="C524" s="6" t="s">
        <v>2059</v>
      </c>
      <c r="D524" s="25" t="s">
        <v>2002</v>
      </c>
      <c r="E524" s="111">
        <v>743231414</v>
      </c>
      <c r="F524" s="4" t="str">
        <f>"0"&amp;93123</f>
        <v>093123</v>
      </c>
      <c r="G524" s="26">
        <v>1</v>
      </c>
      <c r="H524" s="7">
        <v>45517</v>
      </c>
      <c r="J524" s="4" t="s">
        <v>2060</v>
      </c>
    </row>
    <row r="525" spans="1:10" thickTop="1" thickBot="1" x14ac:dyDescent="0.6">
      <c r="A525" s="26">
        <v>79</v>
      </c>
      <c r="D525" s="25" t="s">
        <v>2002</v>
      </c>
    </row>
    <row r="526" spans="1:10" thickTop="1" thickBot="1" x14ac:dyDescent="0.6">
      <c r="A526" s="26">
        <v>80</v>
      </c>
      <c r="B526" s="43">
        <v>1150525</v>
      </c>
      <c r="C526" s="6" t="s">
        <v>2061</v>
      </c>
      <c r="D526" s="25" t="s">
        <v>2002</v>
      </c>
      <c r="E526" s="111">
        <v>762829488</v>
      </c>
      <c r="F526" s="4">
        <v>116312</v>
      </c>
      <c r="G526" s="26">
        <v>1</v>
      </c>
      <c r="I526" s="7">
        <v>45237</v>
      </c>
      <c r="J526" s="4" t="s">
        <v>2062</v>
      </c>
    </row>
    <row r="527" spans="1:10" thickTop="1" thickBot="1" x14ac:dyDescent="0.6">
      <c r="A527" s="26">
        <v>81</v>
      </c>
      <c r="D527" s="25" t="s">
        <v>2002</v>
      </c>
    </row>
    <row r="528" spans="1:10" thickTop="1" thickBot="1" x14ac:dyDescent="0.6">
      <c r="A528" s="26">
        <v>82</v>
      </c>
      <c r="B528" s="43">
        <v>1150421</v>
      </c>
      <c r="C528" s="6" t="s">
        <v>2063</v>
      </c>
      <c r="D528" s="25" t="s">
        <v>2002</v>
      </c>
      <c r="E528" s="111">
        <v>773032927</v>
      </c>
      <c r="F528" s="4">
        <v>120827</v>
      </c>
      <c r="G528" s="26">
        <v>1</v>
      </c>
      <c r="H528" s="7">
        <v>44960</v>
      </c>
      <c r="I528" s="7">
        <v>44960</v>
      </c>
      <c r="J528" s="5" t="s">
        <v>2064</v>
      </c>
    </row>
    <row r="529" spans="1:10" thickTop="1" thickBot="1" x14ac:dyDescent="0.6">
      <c r="A529" s="26">
        <v>83</v>
      </c>
      <c r="B529" s="43">
        <v>1150800</v>
      </c>
      <c r="C529" s="6" t="s">
        <v>2065</v>
      </c>
      <c r="D529" s="25" t="s">
        <v>2002</v>
      </c>
      <c r="E529" s="111" t="s">
        <v>2066</v>
      </c>
      <c r="F529" s="4" t="str">
        <f>"0"&amp;96621</f>
        <v>096621</v>
      </c>
      <c r="G529" s="26">
        <v>1</v>
      </c>
      <c r="H529" s="7">
        <v>45532</v>
      </c>
      <c r="J529" s="4" t="s">
        <v>2067</v>
      </c>
    </row>
    <row r="530" spans="1:10" thickTop="1" thickBot="1" x14ac:dyDescent="0.6">
      <c r="A530" s="26">
        <v>84</v>
      </c>
      <c r="B530" s="43">
        <v>1150817</v>
      </c>
      <c r="C530" s="6" t="s">
        <v>2068</v>
      </c>
      <c r="D530" s="25" t="s">
        <v>2002</v>
      </c>
      <c r="E530" s="111" t="s">
        <v>2069</v>
      </c>
      <c r="F530" s="4" t="str">
        <f>"0"&amp;99096</f>
        <v>099096</v>
      </c>
      <c r="G530" s="26">
        <v>1</v>
      </c>
      <c r="H530" s="7">
        <v>45536</v>
      </c>
      <c r="I530" s="7">
        <v>45215</v>
      </c>
      <c r="J530" s="4" t="s">
        <v>2070</v>
      </c>
    </row>
    <row r="531" spans="1:10" thickTop="1" thickBot="1" x14ac:dyDescent="0.6">
      <c r="A531" s="26">
        <v>85</v>
      </c>
      <c r="D531" s="25" t="s">
        <v>2002</v>
      </c>
    </row>
    <row r="532" spans="1:10" thickTop="1" thickBot="1" x14ac:dyDescent="0.6">
      <c r="A532" s="26">
        <v>86</v>
      </c>
      <c r="D532" s="25" t="s">
        <v>2002</v>
      </c>
    </row>
    <row r="533" spans="1:10" thickTop="1" thickBot="1" x14ac:dyDescent="0.6">
      <c r="A533" s="26">
        <v>87</v>
      </c>
      <c r="B533" s="43">
        <v>1151587</v>
      </c>
      <c r="C533" s="6" t="s">
        <v>3373</v>
      </c>
      <c r="D533" s="25" t="s">
        <v>2002</v>
      </c>
      <c r="E533" s="111">
        <v>742651305</v>
      </c>
      <c r="F533" s="4">
        <v>914039</v>
      </c>
      <c r="G533" s="26">
        <v>1</v>
      </c>
      <c r="H533" s="7">
        <v>45924</v>
      </c>
      <c r="J533" s="4">
        <v>199882811088</v>
      </c>
    </row>
    <row r="534" spans="1:10" thickTop="1" thickBot="1" x14ac:dyDescent="0.6">
      <c r="A534" s="26">
        <v>88</v>
      </c>
      <c r="B534" s="43">
        <v>1150799</v>
      </c>
      <c r="C534" s="6" t="s">
        <v>2058</v>
      </c>
      <c r="D534" s="25" t="s">
        <v>2002</v>
      </c>
      <c r="E534" s="111" t="s">
        <v>2071</v>
      </c>
      <c r="F534" s="4">
        <v>139769</v>
      </c>
      <c r="G534" s="26">
        <v>1</v>
      </c>
      <c r="H534" s="7">
        <v>45532</v>
      </c>
      <c r="J534" s="4" t="s">
        <v>2072</v>
      </c>
    </row>
    <row r="535" spans="1:10" thickTop="1" thickBot="1" x14ac:dyDescent="0.6">
      <c r="A535" s="26">
        <v>89</v>
      </c>
      <c r="D535" s="25" t="s">
        <v>2002</v>
      </c>
      <c r="I535" s="7">
        <v>45052</v>
      </c>
      <c r="J535" s="5"/>
    </row>
    <row r="536" spans="1:10" thickTop="1" thickBot="1" x14ac:dyDescent="0.6">
      <c r="A536" s="26">
        <v>90</v>
      </c>
      <c r="B536" s="43">
        <v>1151351</v>
      </c>
      <c r="C536" s="6" t="s">
        <v>2839</v>
      </c>
      <c r="D536" s="25" t="s">
        <v>2002</v>
      </c>
      <c r="E536" s="111">
        <v>776323442</v>
      </c>
      <c r="F536" s="4">
        <v>660517</v>
      </c>
      <c r="G536" s="26">
        <v>1</v>
      </c>
      <c r="H536" s="7">
        <v>45684</v>
      </c>
    </row>
    <row r="537" spans="1:10" thickTop="1" thickBot="1" x14ac:dyDescent="0.6">
      <c r="A537" s="26">
        <v>91</v>
      </c>
      <c r="D537" s="25" t="s">
        <v>2002</v>
      </c>
    </row>
    <row r="538" spans="1:10" thickTop="1" thickBot="1" x14ac:dyDescent="0.6">
      <c r="A538" s="26">
        <v>92</v>
      </c>
      <c r="B538" s="43">
        <v>1150534</v>
      </c>
      <c r="C538" s="6" t="s">
        <v>2073</v>
      </c>
      <c r="D538" s="25" t="s">
        <v>2002</v>
      </c>
      <c r="E538" s="111">
        <v>769293732</v>
      </c>
      <c r="F538" s="4">
        <v>152010</v>
      </c>
      <c r="G538" s="26">
        <v>1</v>
      </c>
      <c r="H538" s="7">
        <v>45508</v>
      </c>
      <c r="J538" s="4" t="s">
        <v>2074</v>
      </c>
    </row>
    <row r="539" spans="1:10" thickTop="1" thickBot="1" x14ac:dyDescent="0.6">
      <c r="A539" s="26">
        <v>93</v>
      </c>
      <c r="B539" s="43">
        <v>1150708</v>
      </c>
      <c r="C539" s="6" t="s">
        <v>2075</v>
      </c>
      <c r="D539" s="25" t="s">
        <v>2002</v>
      </c>
      <c r="E539" s="111">
        <v>775102525</v>
      </c>
      <c r="F539" s="4">
        <v>150758</v>
      </c>
      <c r="G539" s="26">
        <v>1</v>
      </c>
      <c r="H539" s="7">
        <v>45470</v>
      </c>
      <c r="J539" s="4" t="s">
        <v>2076</v>
      </c>
    </row>
    <row r="540" spans="1:10" thickTop="1" thickBot="1" x14ac:dyDescent="0.6">
      <c r="A540" s="26">
        <v>94</v>
      </c>
      <c r="B540" s="43">
        <v>1151226</v>
      </c>
      <c r="C540" s="6" t="s">
        <v>2077</v>
      </c>
      <c r="D540" s="25" t="s">
        <v>2002</v>
      </c>
      <c r="E540" s="111">
        <v>772442032</v>
      </c>
      <c r="F540" s="4" t="s">
        <v>3386</v>
      </c>
      <c r="G540" s="26">
        <v>2</v>
      </c>
      <c r="H540" s="7">
        <v>45609</v>
      </c>
      <c r="J540" s="4" t="s">
        <v>2078</v>
      </c>
    </row>
    <row r="541" spans="1:10" thickTop="1" thickBot="1" x14ac:dyDescent="0.6">
      <c r="A541" s="26">
        <v>95</v>
      </c>
      <c r="B541" s="43">
        <v>1151530</v>
      </c>
      <c r="C541" s="6" t="s">
        <v>3263</v>
      </c>
      <c r="D541" s="25" t="s">
        <v>2002</v>
      </c>
      <c r="F541" s="4">
        <v>512601</v>
      </c>
      <c r="G541" s="26">
        <v>1</v>
      </c>
      <c r="H541" s="7">
        <v>45828</v>
      </c>
      <c r="J541" s="4" t="s">
        <v>3264</v>
      </c>
    </row>
    <row r="542" spans="1:10" thickTop="1" thickBot="1" x14ac:dyDescent="0.6">
      <c r="A542" s="26">
        <v>96</v>
      </c>
      <c r="D542" s="25" t="s">
        <v>2002</v>
      </c>
    </row>
    <row r="543" spans="1:10" thickTop="1" thickBot="1" x14ac:dyDescent="0.6">
      <c r="A543" s="26">
        <v>97</v>
      </c>
      <c r="B543" s="43">
        <v>1150931</v>
      </c>
      <c r="C543" s="6" t="s">
        <v>2079</v>
      </c>
      <c r="D543" s="25" t="s">
        <v>2002</v>
      </c>
      <c r="E543" s="111">
        <v>711604985</v>
      </c>
      <c r="F543" s="4">
        <v>251267</v>
      </c>
      <c r="G543" s="26">
        <v>1</v>
      </c>
      <c r="H543" s="7">
        <v>45580</v>
      </c>
      <c r="J543" s="4" t="s">
        <v>2080</v>
      </c>
    </row>
    <row r="544" spans="1:10" thickTop="1" thickBot="1" x14ac:dyDescent="0.6">
      <c r="A544" s="26">
        <v>98</v>
      </c>
      <c r="D544" s="25" t="s">
        <v>2002</v>
      </c>
    </row>
    <row r="545" spans="1:10" thickTop="1" thickBot="1" x14ac:dyDescent="0.6">
      <c r="A545" s="26">
        <v>99</v>
      </c>
      <c r="B545" s="43">
        <v>1151091</v>
      </c>
      <c r="C545" s="6" t="s">
        <v>2081</v>
      </c>
      <c r="D545" s="25" t="s">
        <v>2002</v>
      </c>
      <c r="E545" s="111">
        <v>774020411</v>
      </c>
      <c r="F545" s="4">
        <v>244247</v>
      </c>
      <c r="G545" s="26">
        <v>1</v>
      </c>
      <c r="H545" s="7">
        <v>45602</v>
      </c>
      <c r="J545" s="4" t="s">
        <v>2082</v>
      </c>
    </row>
    <row r="546" spans="1:10" thickTop="1" thickBot="1" x14ac:dyDescent="0.6">
      <c r="A546" s="26">
        <v>100</v>
      </c>
      <c r="B546" s="43">
        <v>1151574</v>
      </c>
      <c r="C546" s="6" t="s">
        <v>3337</v>
      </c>
      <c r="D546" s="25" t="s">
        <v>2002</v>
      </c>
      <c r="E546" s="111" t="s">
        <v>3338</v>
      </c>
      <c r="F546" s="4">
        <v>430994</v>
      </c>
      <c r="G546" s="26">
        <v>1</v>
      </c>
      <c r="H546" s="7">
        <v>45901</v>
      </c>
      <c r="J546" s="4" t="s">
        <v>3339</v>
      </c>
    </row>
    <row r="547" spans="1:10" thickTop="1" thickBot="1" x14ac:dyDescent="0.6">
      <c r="A547" s="26">
        <v>101</v>
      </c>
      <c r="B547" s="43">
        <v>1151033</v>
      </c>
      <c r="C547" s="6" t="s">
        <v>3026</v>
      </c>
      <c r="D547" s="25" t="s">
        <v>2002</v>
      </c>
      <c r="E547" s="111">
        <v>763474743</v>
      </c>
      <c r="F547" s="4">
        <v>259849</v>
      </c>
      <c r="G547" s="26">
        <v>1</v>
      </c>
      <c r="H547" s="7">
        <v>45595</v>
      </c>
      <c r="J547" s="4">
        <v>198066202907</v>
      </c>
    </row>
    <row r="548" spans="1:10" thickTop="1" thickBot="1" x14ac:dyDescent="0.6">
      <c r="A548" s="26">
        <v>102</v>
      </c>
      <c r="B548" s="43">
        <v>1151371</v>
      </c>
      <c r="C548" s="6" t="s">
        <v>2810</v>
      </c>
      <c r="D548" s="25" t="s">
        <v>2002</v>
      </c>
      <c r="E548" s="111">
        <v>762463300</v>
      </c>
      <c r="F548" s="4">
        <v>436645</v>
      </c>
      <c r="G548" s="26">
        <v>1</v>
      </c>
      <c r="H548" s="7">
        <v>45697</v>
      </c>
      <c r="J548" s="4">
        <v>196718910054</v>
      </c>
    </row>
    <row r="549" spans="1:10" thickTop="1" thickBot="1" x14ac:dyDescent="0.6">
      <c r="A549" s="26">
        <v>103</v>
      </c>
      <c r="D549" s="25" t="s">
        <v>2002</v>
      </c>
    </row>
    <row r="550" spans="1:10" thickTop="1" thickBot="1" x14ac:dyDescent="0.6">
      <c r="A550" s="26">
        <v>104</v>
      </c>
      <c r="B550" s="43">
        <v>1151233</v>
      </c>
      <c r="C550" s="6" t="s">
        <v>2083</v>
      </c>
      <c r="D550" s="25" t="s">
        <v>2002</v>
      </c>
      <c r="E550" s="111">
        <v>741874575</v>
      </c>
      <c r="F550" s="4">
        <v>338874</v>
      </c>
      <c r="G550" s="26">
        <v>1</v>
      </c>
      <c r="H550" s="7">
        <v>45609</v>
      </c>
      <c r="J550" s="4" t="s">
        <v>2084</v>
      </c>
    </row>
    <row r="551" spans="1:10" thickTop="1" thickBot="1" x14ac:dyDescent="0.6">
      <c r="A551" s="26">
        <v>105</v>
      </c>
      <c r="B551" s="43">
        <v>1151576</v>
      </c>
      <c r="C551" s="6" t="s">
        <v>3344</v>
      </c>
      <c r="D551" s="25" t="s">
        <v>2002</v>
      </c>
      <c r="E551" s="111" t="s">
        <v>3342</v>
      </c>
      <c r="F551" s="4">
        <v>460322</v>
      </c>
      <c r="G551" s="26">
        <v>1</v>
      </c>
      <c r="H551" s="7">
        <v>45903</v>
      </c>
      <c r="J551" s="4" t="s">
        <v>3343</v>
      </c>
    </row>
    <row r="552" spans="1:10" thickTop="1" thickBot="1" x14ac:dyDescent="0.6">
      <c r="A552" s="26">
        <v>106</v>
      </c>
      <c r="B552" s="43">
        <v>1150826</v>
      </c>
      <c r="C552" s="6" t="s">
        <v>2085</v>
      </c>
      <c r="D552" s="25" t="s">
        <v>2002</v>
      </c>
      <c r="E552" s="111" t="s">
        <v>2086</v>
      </c>
      <c r="F552" s="4" t="str">
        <f>"0"&amp;71954</f>
        <v>071954</v>
      </c>
      <c r="G552" s="26">
        <v>1</v>
      </c>
      <c r="H552" s="7">
        <v>45543</v>
      </c>
      <c r="J552" s="4" t="s">
        <v>2087</v>
      </c>
    </row>
    <row r="553" spans="1:10" thickTop="1" thickBot="1" x14ac:dyDescent="0.6">
      <c r="A553" s="26">
        <v>107</v>
      </c>
      <c r="D553" s="25" t="s">
        <v>2002</v>
      </c>
    </row>
    <row r="554" spans="1:10" thickTop="1" thickBot="1" x14ac:dyDescent="0.6">
      <c r="A554" s="26">
        <v>108</v>
      </c>
      <c r="D554" s="25" t="s">
        <v>2002</v>
      </c>
    </row>
    <row r="555" spans="1:10" thickTop="1" thickBot="1" x14ac:dyDescent="0.6">
      <c r="A555" s="26">
        <v>109</v>
      </c>
      <c r="D555" s="25" t="s">
        <v>2002</v>
      </c>
    </row>
    <row r="556" spans="1:10" thickTop="1" thickBot="1" x14ac:dyDescent="0.6">
      <c r="A556" s="26">
        <v>110</v>
      </c>
      <c r="D556" s="25" t="s">
        <v>2002</v>
      </c>
    </row>
    <row r="557" spans="1:10" thickTop="1" thickBot="1" x14ac:dyDescent="0.6">
      <c r="A557" s="26">
        <v>111</v>
      </c>
      <c r="D557" s="25" t="s">
        <v>2002</v>
      </c>
    </row>
    <row r="558" spans="1:10" thickTop="1" thickBot="1" x14ac:dyDescent="0.6">
      <c r="A558" s="26">
        <v>112</v>
      </c>
      <c r="D558" s="25" t="s">
        <v>2002</v>
      </c>
    </row>
    <row r="559" spans="1:10" thickTop="1" thickBot="1" x14ac:dyDescent="0.6">
      <c r="A559" s="26">
        <v>113</v>
      </c>
      <c r="D559" s="25" t="s">
        <v>2002</v>
      </c>
    </row>
    <row r="560" spans="1:10" thickTop="1" thickBot="1" x14ac:dyDescent="0.6">
      <c r="A560" s="26">
        <v>114</v>
      </c>
      <c r="D560" s="25" t="s">
        <v>2002</v>
      </c>
    </row>
    <row r="561" spans="1:10" thickTop="1" thickBot="1" x14ac:dyDescent="0.6">
      <c r="A561" s="26">
        <v>115</v>
      </c>
      <c r="B561" s="43">
        <v>1151034</v>
      </c>
      <c r="C561" s="6" t="s">
        <v>2088</v>
      </c>
      <c r="D561" s="25" t="s">
        <v>2002</v>
      </c>
      <c r="E561" s="111" t="s">
        <v>2089</v>
      </c>
      <c r="F561" s="4">
        <v>189301</v>
      </c>
      <c r="G561" s="26">
        <v>1</v>
      </c>
      <c r="H561" s="7">
        <v>45595</v>
      </c>
      <c r="J561" s="4">
        <v>8335202264</v>
      </c>
    </row>
    <row r="562" spans="1:10" thickTop="1" thickBot="1" x14ac:dyDescent="0.6">
      <c r="A562" s="26">
        <v>116</v>
      </c>
      <c r="D562" s="25" t="s">
        <v>2002</v>
      </c>
    </row>
    <row r="563" spans="1:10" thickTop="1" thickBot="1" x14ac:dyDescent="0.6">
      <c r="A563" s="26">
        <v>117</v>
      </c>
      <c r="D563" s="25" t="s">
        <v>2002</v>
      </c>
    </row>
    <row r="564" spans="1:10" thickTop="1" thickBot="1" x14ac:dyDescent="0.6">
      <c r="A564" s="26">
        <v>118</v>
      </c>
      <c r="D564" s="25" t="s">
        <v>2002</v>
      </c>
    </row>
    <row r="565" spans="1:10" thickTop="1" thickBot="1" x14ac:dyDescent="0.6">
      <c r="A565" s="26">
        <v>119</v>
      </c>
      <c r="D565" s="25" t="s">
        <v>2002</v>
      </c>
    </row>
    <row r="566" spans="1:10" thickTop="1" thickBot="1" x14ac:dyDescent="0.6">
      <c r="A566" s="26">
        <v>120</v>
      </c>
      <c r="B566" s="43">
        <v>1150926</v>
      </c>
      <c r="C566" s="6" t="s">
        <v>2090</v>
      </c>
      <c r="D566" s="25" t="s">
        <v>2002</v>
      </c>
      <c r="E566" s="111">
        <v>773032349</v>
      </c>
      <c r="F566" s="4">
        <v>173404</v>
      </c>
      <c r="G566" s="26">
        <v>1</v>
      </c>
      <c r="H566" s="7">
        <v>45579</v>
      </c>
      <c r="J566" s="4">
        <v>197620502415</v>
      </c>
    </row>
    <row r="567" spans="1:10" thickTop="1" thickBot="1" x14ac:dyDescent="0.6">
      <c r="A567" s="26">
        <v>121</v>
      </c>
      <c r="D567" s="25" t="s">
        <v>2002</v>
      </c>
    </row>
    <row r="568" spans="1:10" thickTop="1" thickBot="1" x14ac:dyDescent="0.6">
      <c r="A568" s="26">
        <v>122</v>
      </c>
      <c r="B568" s="43">
        <v>1150259</v>
      </c>
      <c r="C568" s="6" t="s">
        <v>2091</v>
      </c>
      <c r="D568" s="25" t="s">
        <v>2002</v>
      </c>
      <c r="E568" s="111" t="s">
        <v>2092</v>
      </c>
      <c r="F568" s="4">
        <v>125784</v>
      </c>
      <c r="G568" s="26">
        <v>1</v>
      </c>
      <c r="H568" s="7">
        <v>45513</v>
      </c>
      <c r="J568" s="4" t="s">
        <v>2093</v>
      </c>
    </row>
    <row r="569" spans="1:10" thickTop="1" thickBot="1" x14ac:dyDescent="0.6">
      <c r="A569" s="26">
        <v>123</v>
      </c>
      <c r="D569" s="25" t="s">
        <v>2002</v>
      </c>
    </row>
    <row r="570" spans="1:10" thickTop="1" thickBot="1" x14ac:dyDescent="0.6">
      <c r="A570" s="26">
        <v>124</v>
      </c>
      <c r="B570" s="43">
        <v>1150613</v>
      </c>
      <c r="C570" s="6" t="s">
        <v>2094</v>
      </c>
      <c r="D570" s="25" t="s">
        <v>2002</v>
      </c>
      <c r="E570" s="111">
        <v>776862522</v>
      </c>
      <c r="F570" s="4">
        <v>108913</v>
      </c>
      <c r="G570" s="26">
        <v>1</v>
      </c>
      <c r="H570" s="6" t="s">
        <v>2095</v>
      </c>
      <c r="J570" s="4" t="s">
        <v>2096</v>
      </c>
    </row>
    <row r="571" spans="1:10" thickTop="1" thickBot="1" x14ac:dyDescent="0.6">
      <c r="A571" s="26">
        <v>125</v>
      </c>
      <c r="D571" s="25" t="s">
        <v>2002</v>
      </c>
    </row>
    <row r="572" spans="1:10" thickTop="1" thickBot="1" x14ac:dyDescent="0.6">
      <c r="A572" s="26">
        <v>126</v>
      </c>
      <c r="B572" s="43">
        <v>1150783</v>
      </c>
      <c r="C572" s="6" t="s">
        <v>2097</v>
      </c>
      <c r="D572" s="25" t="s">
        <v>2002</v>
      </c>
      <c r="E572" s="111">
        <v>710945109</v>
      </c>
      <c r="F572" s="4">
        <v>149115</v>
      </c>
      <c r="G572" s="26">
        <v>1</v>
      </c>
      <c r="H572" s="7">
        <v>45526</v>
      </c>
      <c r="J572" s="4">
        <v>197878302725</v>
      </c>
    </row>
    <row r="573" spans="1:10" thickTop="1" thickBot="1" x14ac:dyDescent="0.6">
      <c r="A573" s="26">
        <v>127</v>
      </c>
      <c r="D573" s="25" t="s">
        <v>2002</v>
      </c>
    </row>
    <row r="574" spans="1:10" thickTop="1" thickBot="1" x14ac:dyDescent="0.6">
      <c r="A574" s="26">
        <v>128</v>
      </c>
      <c r="D574" s="25" t="s">
        <v>2002</v>
      </c>
    </row>
    <row r="575" spans="1:10" thickTop="1" thickBot="1" x14ac:dyDescent="0.6">
      <c r="A575" s="26">
        <v>129</v>
      </c>
      <c r="B575" s="43">
        <v>1150037</v>
      </c>
      <c r="C575" s="6" t="s">
        <v>3268</v>
      </c>
      <c r="D575" s="25" t="s">
        <v>2002</v>
      </c>
      <c r="E575" s="111" t="s">
        <v>3269</v>
      </c>
      <c r="F575" s="4">
        <v>564214</v>
      </c>
      <c r="G575" s="26">
        <v>1</v>
      </c>
      <c r="H575" s="7">
        <v>45832</v>
      </c>
      <c r="J575" s="4" t="s">
        <v>3270</v>
      </c>
    </row>
    <row r="576" spans="1:10" thickTop="1" thickBot="1" x14ac:dyDescent="0.6">
      <c r="A576" s="26">
        <v>130</v>
      </c>
      <c r="B576" s="43">
        <v>1150582</v>
      </c>
      <c r="C576" s="6" t="s">
        <v>2098</v>
      </c>
      <c r="D576" s="25" t="s">
        <v>2002</v>
      </c>
      <c r="F576" s="4">
        <v>102379</v>
      </c>
      <c r="G576" s="26">
        <v>1</v>
      </c>
      <c r="H576" s="7">
        <v>45510</v>
      </c>
      <c r="J576" s="4" t="s">
        <v>2099</v>
      </c>
    </row>
    <row r="577" spans="1:10" thickTop="1" thickBot="1" x14ac:dyDescent="0.6">
      <c r="A577" s="26">
        <v>131</v>
      </c>
      <c r="D577" s="25" t="s">
        <v>2002</v>
      </c>
      <c r="I577" s="7">
        <v>44981</v>
      </c>
      <c r="J577" s="5"/>
    </row>
    <row r="578" spans="1:10" thickTop="1" thickBot="1" x14ac:dyDescent="0.6">
      <c r="A578" s="26">
        <v>132</v>
      </c>
      <c r="B578" s="43">
        <v>1150016</v>
      </c>
      <c r="C578" s="6" t="s">
        <v>2100</v>
      </c>
      <c r="D578" s="25" t="s">
        <v>2002</v>
      </c>
      <c r="E578" s="111" t="s">
        <v>2101</v>
      </c>
      <c r="F578" s="4">
        <v>691639</v>
      </c>
      <c r="G578" s="26">
        <v>1</v>
      </c>
      <c r="H578" s="6" t="s">
        <v>2102</v>
      </c>
      <c r="J578" s="5"/>
    </row>
    <row r="579" spans="1:10" thickTop="1" thickBot="1" x14ac:dyDescent="0.6">
      <c r="A579" s="26">
        <v>133</v>
      </c>
      <c r="B579" s="61"/>
      <c r="D579" s="25" t="s">
        <v>2002</v>
      </c>
      <c r="I579" s="7">
        <v>44636</v>
      </c>
      <c r="J579" s="5"/>
    </row>
    <row r="580" spans="1:10" thickTop="1" thickBot="1" x14ac:dyDescent="0.6">
      <c r="A580" s="26">
        <v>134</v>
      </c>
      <c r="D580" s="25" t="s">
        <v>2002</v>
      </c>
      <c r="I580" s="7">
        <v>45231</v>
      </c>
    </row>
    <row r="581" spans="1:10" thickTop="1" thickBot="1" x14ac:dyDescent="0.6">
      <c r="A581" s="26">
        <v>135</v>
      </c>
      <c r="D581" s="25" t="s">
        <v>2002</v>
      </c>
      <c r="H581" s="7"/>
    </row>
    <row r="582" spans="1:10" thickTop="1" thickBot="1" x14ac:dyDescent="0.6">
      <c r="A582" s="26">
        <v>1</v>
      </c>
      <c r="C582" s="6" t="s">
        <v>2103</v>
      </c>
      <c r="D582" s="25" t="s">
        <v>2104</v>
      </c>
      <c r="G582" s="26">
        <v>1</v>
      </c>
    </row>
    <row r="583" spans="1:10" thickTop="1" thickBot="1" x14ac:dyDescent="0.6">
      <c r="A583" s="26">
        <v>2</v>
      </c>
      <c r="B583" s="43">
        <v>1150979</v>
      </c>
      <c r="C583" s="6" t="s">
        <v>2105</v>
      </c>
      <c r="D583" s="25" t="s">
        <v>2104</v>
      </c>
      <c r="E583" s="111">
        <v>768002851</v>
      </c>
      <c r="F583" s="4">
        <v>368053</v>
      </c>
      <c r="G583" s="26">
        <v>1</v>
      </c>
      <c r="H583" s="7">
        <v>45588</v>
      </c>
      <c r="J583" s="4">
        <v>200121802240</v>
      </c>
    </row>
    <row r="584" spans="1:10" thickTop="1" thickBot="1" x14ac:dyDescent="0.6">
      <c r="A584" s="26">
        <v>3</v>
      </c>
      <c r="D584" s="25" t="s">
        <v>2104</v>
      </c>
    </row>
    <row r="585" spans="1:10" thickTop="1" thickBot="1" x14ac:dyDescent="0.6">
      <c r="A585" s="26">
        <v>4</v>
      </c>
      <c r="B585" s="43">
        <v>1150143</v>
      </c>
      <c r="C585" s="6" t="s">
        <v>2106</v>
      </c>
      <c r="D585" s="25" t="s">
        <v>2104</v>
      </c>
      <c r="E585" s="111">
        <v>772215789</v>
      </c>
      <c r="F585" s="4">
        <v>618780</v>
      </c>
      <c r="G585" s="26">
        <v>1</v>
      </c>
      <c r="J585" s="4" t="s">
        <v>2107</v>
      </c>
    </row>
    <row r="586" spans="1:10" thickTop="1" thickBot="1" x14ac:dyDescent="0.6">
      <c r="A586" s="26">
        <v>5</v>
      </c>
      <c r="D586" s="25" t="s">
        <v>2104</v>
      </c>
    </row>
    <row r="587" spans="1:10" thickTop="1" thickBot="1" x14ac:dyDescent="0.6">
      <c r="A587" s="26">
        <v>6</v>
      </c>
      <c r="B587" s="43">
        <v>1151444</v>
      </c>
      <c r="C587" s="6" t="s">
        <v>2877</v>
      </c>
      <c r="D587" s="25" t="s">
        <v>2104</v>
      </c>
      <c r="E587" s="111">
        <v>762748779</v>
      </c>
      <c r="F587" s="4">
        <v>578289</v>
      </c>
      <c r="G587" s="26">
        <v>1</v>
      </c>
      <c r="H587" s="7">
        <v>45741</v>
      </c>
      <c r="J587" s="4" t="s">
        <v>2878</v>
      </c>
    </row>
    <row r="588" spans="1:10" thickTop="1" thickBot="1" x14ac:dyDescent="0.6">
      <c r="A588" s="26">
        <v>7</v>
      </c>
      <c r="D588" s="25" t="s">
        <v>2104</v>
      </c>
    </row>
    <row r="589" spans="1:10" thickTop="1" thickBot="1" x14ac:dyDescent="0.6">
      <c r="A589" s="26">
        <v>8</v>
      </c>
      <c r="D589" s="25" t="s">
        <v>2104</v>
      </c>
    </row>
    <row r="590" spans="1:10" thickTop="1" thickBot="1" x14ac:dyDescent="0.6">
      <c r="A590" s="26">
        <v>9</v>
      </c>
      <c r="B590" s="43">
        <v>1151340</v>
      </c>
      <c r="C590" s="6" t="s">
        <v>2108</v>
      </c>
      <c r="D590" s="25" t="s">
        <v>2104</v>
      </c>
      <c r="E590" s="111">
        <v>715758298</v>
      </c>
      <c r="F590" s="4">
        <v>230154</v>
      </c>
      <c r="G590" s="26">
        <v>1</v>
      </c>
      <c r="H590" s="7">
        <v>45638</v>
      </c>
      <c r="J590" s="4">
        <v>199909410560</v>
      </c>
    </row>
    <row r="591" spans="1:10" thickTop="1" thickBot="1" x14ac:dyDescent="0.6">
      <c r="A591" s="26">
        <v>10</v>
      </c>
      <c r="D591" s="25" t="s">
        <v>2104</v>
      </c>
    </row>
    <row r="592" spans="1:10" thickTop="1" thickBot="1" x14ac:dyDescent="0.6">
      <c r="A592" s="26">
        <v>11</v>
      </c>
      <c r="D592" s="25" t="s">
        <v>2104</v>
      </c>
    </row>
    <row r="593" spans="1:10" thickTop="1" thickBot="1" x14ac:dyDescent="0.6">
      <c r="A593" s="26">
        <v>12</v>
      </c>
      <c r="D593" s="25" t="s">
        <v>2104</v>
      </c>
    </row>
    <row r="594" spans="1:10" thickTop="1" thickBot="1" x14ac:dyDescent="0.6">
      <c r="A594" s="26">
        <v>13</v>
      </c>
      <c r="B594" s="43">
        <v>1150084</v>
      </c>
      <c r="C594" s="6" t="s">
        <v>2109</v>
      </c>
      <c r="D594" s="25" t="s">
        <v>2104</v>
      </c>
      <c r="E594" s="111">
        <v>774199478</v>
      </c>
      <c r="F594" s="4">
        <v>639992</v>
      </c>
      <c r="G594" s="26">
        <v>1</v>
      </c>
      <c r="J594" s="5" t="s">
        <v>2110</v>
      </c>
    </row>
    <row r="595" spans="1:10" thickTop="1" thickBot="1" x14ac:dyDescent="0.6">
      <c r="A595" s="26">
        <v>14</v>
      </c>
      <c r="D595" s="25" t="s">
        <v>2104</v>
      </c>
    </row>
    <row r="596" spans="1:10" thickTop="1" thickBot="1" x14ac:dyDescent="0.6">
      <c r="A596" s="26">
        <v>15</v>
      </c>
      <c r="D596" s="25" t="s">
        <v>2104</v>
      </c>
    </row>
    <row r="597" spans="1:10" thickTop="1" thickBot="1" x14ac:dyDescent="0.6">
      <c r="A597" s="26">
        <v>16</v>
      </c>
      <c r="B597" s="43">
        <v>1151512</v>
      </c>
      <c r="C597" s="6" t="s">
        <v>1623</v>
      </c>
      <c r="D597" s="25" t="s">
        <v>2104</v>
      </c>
      <c r="E597" s="111">
        <v>763737072</v>
      </c>
      <c r="F597" s="4">
        <v>409238</v>
      </c>
      <c r="G597" s="26">
        <v>1</v>
      </c>
      <c r="H597" s="7">
        <v>45796</v>
      </c>
      <c r="J597" s="4" t="s">
        <v>3088</v>
      </c>
    </row>
    <row r="598" spans="1:10" thickTop="1" thickBot="1" x14ac:dyDescent="0.6">
      <c r="A598" s="26">
        <v>17</v>
      </c>
      <c r="D598" s="25" t="s">
        <v>2104</v>
      </c>
    </row>
    <row r="599" spans="1:10" thickTop="1" thickBot="1" x14ac:dyDescent="0.6">
      <c r="A599" s="26">
        <v>18</v>
      </c>
      <c r="D599" s="25" t="s">
        <v>2104</v>
      </c>
    </row>
    <row r="600" spans="1:10" thickTop="1" thickBot="1" x14ac:dyDescent="0.6">
      <c r="A600" s="26">
        <v>19</v>
      </c>
      <c r="B600" s="43">
        <v>1150487</v>
      </c>
      <c r="C600" s="6" t="s">
        <v>2111</v>
      </c>
      <c r="D600" s="25" t="s">
        <v>2104</v>
      </c>
      <c r="E600" s="111">
        <v>779216407</v>
      </c>
      <c r="F600" s="4">
        <v>135981</v>
      </c>
      <c r="G600" s="26">
        <v>1</v>
      </c>
      <c r="I600" s="7">
        <v>45119</v>
      </c>
      <c r="J600" s="4" t="s">
        <v>2112</v>
      </c>
    </row>
    <row r="601" spans="1:10" thickTop="1" thickBot="1" x14ac:dyDescent="0.6">
      <c r="A601" s="26">
        <v>20</v>
      </c>
      <c r="D601" s="25" t="s">
        <v>2104</v>
      </c>
    </row>
    <row r="602" spans="1:10" thickTop="1" thickBot="1" x14ac:dyDescent="0.6">
      <c r="A602" s="26">
        <v>21</v>
      </c>
      <c r="D602" s="25" t="s">
        <v>2104</v>
      </c>
    </row>
    <row r="603" spans="1:10" thickTop="1" thickBot="1" x14ac:dyDescent="0.6">
      <c r="A603" s="26">
        <v>22</v>
      </c>
      <c r="D603" s="25" t="s">
        <v>2104</v>
      </c>
    </row>
    <row r="604" spans="1:10" thickTop="1" thickBot="1" x14ac:dyDescent="0.6">
      <c r="A604" s="26">
        <v>23</v>
      </c>
      <c r="D604" s="25" t="s">
        <v>2104</v>
      </c>
    </row>
    <row r="605" spans="1:10" thickTop="1" thickBot="1" x14ac:dyDescent="0.6">
      <c r="A605" s="26">
        <v>24</v>
      </c>
      <c r="C605" s="6" t="s">
        <v>2113</v>
      </c>
      <c r="D605" s="25" t="s">
        <v>2104</v>
      </c>
      <c r="E605" s="111">
        <v>763224608</v>
      </c>
      <c r="G605" s="26">
        <v>1</v>
      </c>
      <c r="J605" s="5"/>
    </row>
    <row r="606" spans="1:10" thickTop="1" thickBot="1" x14ac:dyDescent="0.6">
      <c r="A606" s="26">
        <v>25</v>
      </c>
      <c r="B606" s="43">
        <v>1150168</v>
      </c>
      <c r="C606" s="6" t="s">
        <v>2114</v>
      </c>
      <c r="D606" s="25" t="s">
        <v>2104</v>
      </c>
      <c r="E606" s="111">
        <v>767764578</v>
      </c>
      <c r="F606" s="4">
        <v>609847</v>
      </c>
      <c r="G606" s="26">
        <v>1</v>
      </c>
      <c r="J606" s="4" t="s">
        <v>2115</v>
      </c>
    </row>
    <row r="607" spans="1:10" thickTop="1" thickBot="1" x14ac:dyDescent="0.6">
      <c r="A607" s="26">
        <v>26</v>
      </c>
      <c r="D607" s="25" t="s">
        <v>2104</v>
      </c>
    </row>
    <row r="608" spans="1:10" thickTop="1" thickBot="1" x14ac:dyDescent="0.6">
      <c r="A608" s="26">
        <v>27</v>
      </c>
      <c r="B608" s="43">
        <v>1150921</v>
      </c>
      <c r="C608" s="6" t="s">
        <v>2116</v>
      </c>
      <c r="D608" s="25" t="s">
        <v>2104</v>
      </c>
      <c r="E608" s="111">
        <v>513516307</v>
      </c>
      <c r="F608" s="4">
        <v>234107</v>
      </c>
      <c r="G608" s="26">
        <v>1</v>
      </c>
      <c r="H608" s="7">
        <v>45578</v>
      </c>
      <c r="J608" s="4" t="s">
        <v>2117</v>
      </c>
    </row>
    <row r="609" spans="1:10" thickTop="1" thickBot="1" x14ac:dyDescent="0.6">
      <c r="A609" s="26">
        <v>28</v>
      </c>
      <c r="B609" s="43">
        <v>1150952</v>
      </c>
      <c r="C609" s="6" t="s">
        <v>2118</v>
      </c>
      <c r="D609" s="25" t="s">
        <v>2104</v>
      </c>
      <c r="E609" s="111">
        <v>778887409</v>
      </c>
      <c r="F609" s="4">
        <v>377021</v>
      </c>
      <c r="G609" s="26">
        <v>1</v>
      </c>
      <c r="H609" s="7">
        <v>45582</v>
      </c>
      <c r="I609" s="7"/>
      <c r="J609" s="4" t="s">
        <v>2119</v>
      </c>
    </row>
    <row r="610" spans="1:10" thickTop="1" thickBot="1" x14ac:dyDescent="0.6">
      <c r="A610" s="26">
        <v>29</v>
      </c>
      <c r="D610" s="25" t="s">
        <v>2104</v>
      </c>
    </row>
    <row r="611" spans="1:10" thickTop="1" thickBot="1" x14ac:dyDescent="0.6">
      <c r="A611" s="26">
        <v>30</v>
      </c>
      <c r="B611" s="43">
        <v>1150735</v>
      </c>
      <c r="C611" s="6" t="s">
        <v>2120</v>
      </c>
      <c r="D611" s="25" t="s">
        <v>2104</v>
      </c>
      <c r="E611" s="111">
        <v>763442736</v>
      </c>
      <c r="F611" s="4">
        <v>139355</v>
      </c>
      <c r="G611" s="26">
        <v>1</v>
      </c>
      <c r="H611" s="7">
        <v>45489</v>
      </c>
      <c r="J611" s="4" t="s">
        <v>2121</v>
      </c>
    </row>
    <row r="612" spans="1:10" thickTop="1" thickBot="1" x14ac:dyDescent="0.6">
      <c r="A612" s="26">
        <v>31</v>
      </c>
      <c r="D612" s="25" t="s">
        <v>2104</v>
      </c>
    </row>
    <row r="613" spans="1:10" thickTop="1" thickBot="1" x14ac:dyDescent="0.6">
      <c r="A613" s="26">
        <v>32</v>
      </c>
      <c r="D613" s="25" t="s">
        <v>2104</v>
      </c>
    </row>
    <row r="614" spans="1:10" thickTop="1" thickBot="1" x14ac:dyDescent="0.6">
      <c r="A614" s="26">
        <v>33</v>
      </c>
      <c r="B614" s="43">
        <v>1150796</v>
      </c>
      <c r="C614" s="6" t="s">
        <v>2122</v>
      </c>
      <c r="D614" s="25" t="s">
        <v>2104</v>
      </c>
      <c r="E614" s="111">
        <v>771316584</v>
      </c>
      <c r="F614" s="4" t="str">
        <f>"0"&amp;89105</f>
        <v>089105</v>
      </c>
      <c r="G614" s="26">
        <v>1</v>
      </c>
      <c r="H614" s="7">
        <v>45531</v>
      </c>
      <c r="J614" s="4" t="s">
        <v>2123</v>
      </c>
    </row>
    <row r="615" spans="1:10" thickTop="1" thickBot="1" x14ac:dyDescent="0.6">
      <c r="A615" s="26">
        <v>34</v>
      </c>
      <c r="D615" s="25" t="s">
        <v>2104</v>
      </c>
    </row>
    <row r="616" spans="1:10" thickTop="1" thickBot="1" x14ac:dyDescent="0.6">
      <c r="A616" s="26">
        <v>35</v>
      </c>
      <c r="D616" s="25" t="s">
        <v>2104</v>
      </c>
    </row>
    <row r="617" spans="1:10" thickTop="1" thickBot="1" x14ac:dyDescent="0.6">
      <c r="A617" s="26">
        <v>36</v>
      </c>
      <c r="D617" s="25" t="s">
        <v>2104</v>
      </c>
    </row>
    <row r="618" spans="1:10" thickTop="1" thickBot="1" x14ac:dyDescent="0.6">
      <c r="A618" s="26">
        <v>37</v>
      </c>
      <c r="D618" s="25" t="s">
        <v>2104</v>
      </c>
    </row>
    <row r="619" spans="1:10" thickTop="1" thickBot="1" x14ac:dyDescent="0.6">
      <c r="A619" s="26">
        <v>38</v>
      </c>
      <c r="D619" s="25" t="s">
        <v>2104</v>
      </c>
    </row>
    <row r="620" spans="1:10" thickTop="1" thickBot="1" x14ac:dyDescent="0.6">
      <c r="A620" s="26">
        <v>39</v>
      </c>
      <c r="D620" s="25" t="s">
        <v>2104</v>
      </c>
    </row>
    <row r="621" spans="1:10" thickTop="1" thickBot="1" x14ac:dyDescent="0.6">
      <c r="A621" s="26">
        <v>40</v>
      </c>
      <c r="D621" s="25" t="s">
        <v>2104</v>
      </c>
    </row>
    <row r="622" spans="1:10" thickTop="1" thickBot="1" x14ac:dyDescent="0.6">
      <c r="A622" s="26">
        <v>41</v>
      </c>
      <c r="D622" s="25" t="s">
        <v>2104</v>
      </c>
    </row>
    <row r="623" spans="1:10" thickTop="1" thickBot="1" x14ac:dyDescent="0.6">
      <c r="A623" s="26">
        <v>42</v>
      </c>
      <c r="B623" s="43">
        <v>1151412</v>
      </c>
      <c r="C623" s="6" t="s">
        <v>2785</v>
      </c>
      <c r="D623" s="25" t="s">
        <v>2104</v>
      </c>
      <c r="E623" s="111">
        <v>715588538</v>
      </c>
      <c r="F623" s="4">
        <v>571201</v>
      </c>
      <c r="G623" s="26">
        <v>1</v>
      </c>
      <c r="H623" s="7">
        <v>45718</v>
      </c>
    </row>
    <row r="624" spans="1:10" thickTop="1" thickBot="1" x14ac:dyDescent="0.6">
      <c r="A624" s="26">
        <v>43</v>
      </c>
      <c r="D624" s="25" t="s">
        <v>2104</v>
      </c>
    </row>
    <row r="625" spans="1:9" thickTop="1" thickBot="1" x14ac:dyDescent="0.6">
      <c r="A625" s="26">
        <v>44</v>
      </c>
      <c r="D625" s="25" t="s">
        <v>2104</v>
      </c>
    </row>
    <row r="626" spans="1:9" thickTop="1" thickBot="1" x14ac:dyDescent="0.6">
      <c r="A626" s="26">
        <v>45</v>
      </c>
      <c r="D626" s="25" t="s">
        <v>2104</v>
      </c>
    </row>
    <row r="627" spans="1:9" thickTop="1" thickBot="1" x14ac:dyDescent="0.6">
      <c r="A627" s="26">
        <v>46</v>
      </c>
      <c r="D627" s="25" t="s">
        <v>2104</v>
      </c>
      <c r="I627" s="7">
        <v>45216</v>
      </c>
    </row>
    <row r="628" spans="1:9" thickTop="1" thickBot="1" x14ac:dyDescent="0.6">
      <c r="A628" s="26">
        <v>47</v>
      </c>
      <c r="D628" s="25" t="s">
        <v>2104</v>
      </c>
    </row>
    <row r="629" spans="1:9" thickTop="1" thickBot="1" x14ac:dyDescent="0.6">
      <c r="A629" s="26">
        <v>48</v>
      </c>
      <c r="D629" s="25" t="s">
        <v>2104</v>
      </c>
    </row>
    <row r="630" spans="1:9" thickTop="1" thickBot="1" x14ac:dyDescent="0.6">
      <c r="A630" s="26">
        <v>49</v>
      </c>
      <c r="B630" s="43">
        <v>1151549</v>
      </c>
      <c r="C630" s="6" t="s">
        <v>3285</v>
      </c>
      <c r="D630" s="25" t="s">
        <v>2104</v>
      </c>
      <c r="E630" s="111" t="s">
        <v>3286</v>
      </c>
      <c r="F630" s="4">
        <v>662281</v>
      </c>
      <c r="G630" s="26">
        <v>1</v>
      </c>
      <c r="H630" s="7">
        <v>45844</v>
      </c>
    </row>
    <row r="631" spans="1:9" thickTop="1" thickBot="1" x14ac:dyDescent="0.6">
      <c r="A631" s="26">
        <v>50</v>
      </c>
      <c r="D631" s="25" t="s">
        <v>2104</v>
      </c>
    </row>
    <row r="632" spans="1:9" thickTop="1" thickBot="1" x14ac:dyDescent="0.6">
      <c r="A632" s="26">
        <v>51</v>
      </c>
      <c r="D632" s="25" t="s">
        <v>2104</v>
      </c>
    </row>
    <row r="633" spans="1:9" thickTop="1" thickBot="1" x14ac:dyDescent="0.6">
      <c r="A633" s="26">
        <v>52</v>
      </c>
      <c r="D633" s="25" t="s">
        <v>2104</v>
      </c>
    </row>
    <row r="634" spans="1:9" thickTop="1" thickBot="1" x14ac:dyDescent="0.6">
      <c r="A634" s="26">
        <v>53</v>
      </c>
      <c r="D634" s="25" t="s">
        <v>2104</v>
      </c>
    </row>
    <row r="635" spans="1:9" thickTop="1" thickBot="1" x14ac:dyDescent="0.6">
      <c r="A635" s="26">
        <v>54</v>
      </c>
      <c r="D635" s="25" t="s">
        <v>2104</v>
      </c>
    </row>
    <row r="636" spans="1:9" thickTop="1" thickBot="1" x14ac:dyDescent="0.6">
      <c r="A636" s="26">
        <v>55</v>
      </c>
      <c r="D636" s="25" t="s">
        <v>2104</v>
      </c>
    </row>
    <row r="637" spans="1:9" thickTop="1" thickBot="1" x14ac:dyDescent="0.6">
      <c r="A637" s="26">
        <v>56</v>
      </c>
      <c r="D637" s="25" t="s">
        <v>2104</v>
      </c>
    </row>
    <row r="638" spans="1:9" thickTop="1" thickBot="1" x14ac:dyDescent="0.6">
      <c r="A638" s="26">
        <v>57</v>
      </c>
      <c r="D638" s="25" t="s">
        <v>2104</v>
      </c>
    </row>
    <row r="639" spans="1:9" thickTop="1" thickBot="1" x14ac:dyDescent="0.6">
      <c r="A639" s="26">
        <v>58</v>
      </c>
      <c r="D639" s="25" t="s">
        <v>2104</v>
      </c>
    </row>
    <row r="640" spans="1:9" thickTop="1" thickBot="1" x14ac:dyDescent="0.6">
      <c r="A640" s="26">
        <v>59</v>
      </c>
      <c r="D640" s="25" t="s">
        <v>2104</v>
      </c>
    </row>
    <row r="641" spans="1:10" thickTop="1" thickBot="1" x14ac:dyDescent="0.6">
      <c r="A641" s="26">
        <v>60</v>
      </c>
      <c r="B641" s="43">
        <v>1151518</v>
      </c>
      <c r="C641" s="6" t="s">
        <v>3112</v>
      </c>
      <c r="D641" s="25" t="s">
        <v>2104</v>
      </c>
      <c r="E641" s="111" t="s">
        <v>3113</v>
      </c>
      <c r="F641" s="4">
        <v>628084</v>
      </c>
      <c r="G641" s="26">
        <v>1</v>
      </c>
      <c r="H641" s="7">
        <v>45810</v>
      </c>
      <c r="J641" s="4" t="s">
        <v>3114</v>
      </c>
    </row>
    <row r="642" spans="1:10" thickTop="1" thickBot="1" x14ac:dyDescent="0.6">
      <c r="A642" s="26">
        <v>61</v>
      </c>
      <c r="D642" s="25" t="s">
        <v>2104</v>
      </c>
    </row>
    <row r="643" spans="1:10" thickTop="1" thickBot="1" x14ac:dyDescent="0.6">
      <c r="A643" s="26">
        <v>62</v>
      </c>
      <c r="D643" s="25" t="s">
        <v>2104</v>
      </c>
    </row>
    <row r="644" spans="1:10" thickTop="1" thickBot="1" x14ac:dyDescent="0.6">
      <c r="A644" s="26">
        <v>63</v>
      </c>
      <c r="D644" s="25" t="s">
        <v>2104</v>
      </c>
    </row>
    <row r="645" spans="1:10" thickTop="1" thickBot="1" x14ac:dyDescent="0.6">
      <c r="A645" s="26">
        <v>64</v>
      </c>
      <c r="D645" s="25" t="s">
        <v>2104</v>
      </c>
    </row>
    <row r="646" spans="1:10" thickTop="1" thickBot="1" x14ac:dyDescent="0.6">
      <c r="A646" s="26">
        <v>65</v>
      </c>
      <c r="D646" s="25" t="s">
        <v>2104</v>
      </c>
    </row>
    <row r="647" spans="1:10" thickTop="1" thickBot="1" x14ac:dyDescent="0.6">
      <c r="A647" s="26">
        <v>66</v>
      </c>
      <c r="D647" s="25" t="s">
        <v>2104</v>
      </c>
    </row>
    <row r="648" spans="1:10" thickTop="1" thickBot="1" x14ac:dyDescent="0.6">
      <c r="A648" s="26">
        <v>67</v>
      </c>
      <c r="B648" s="43">
        <v>1150709</v>
      </c>
      <c r="C648" s="6" t="s">
        <v>2124</v>
      </c>
      <c r="D648" s="25" t="s">
        <v>2104</v>
      </c>
      <c r="E648" s="111" t="s">
        <v>2125</v>
      </c>
      <c r="F648" s="4">
        <v>151947</v>
      </c>
      <c r="G648" s="26">
        <v>1</v>
      </c>
      <c r="H648" s="7">
        <v>45473</v>
      </c>
      <c r="J648" s="4" t="s">
        <v>2126</v>
      </c>
    </row>
    <row r="649" spans="1:10" thickTop="1" thickBot="1" x14ac:dyDescent="0.6">
      <c r="A649" s="26">
        <v>68</v>
      </c>
      <c r="D649" s="25" t="s">
        <v>2104</v>
      </c>
    </row>
    <row r="650" spans="1:10" thickTop="1" thickBot="1" x14ac:dyDescent="0.6">
      <c r="A650" s="26">
        <v>69</v>
      </c>
      <c r="D650" s="25" t="s">
        <v>2104</v>
      </c>
    </row>
    <row r="651" spans="1:10" thickTop="1" thickBot="1" x14ac:dyDescent="0.6">
      <c r="A651" s="26">
        <v>70</v>
      </c>
      <c r="D651" s="25" t="s">
        <v>2104</v>
      </c>
    </row>
    <row r="652" spans="1:10" thickTop="1" thickBot="1" x14ac:dyDescent="0.6">
      <c r="A652" s="26">
        <v>71</v>
      </c>
      <c r="D652" s="25" t="s">
        <v>2104</v>
      </c>
    </row>
    <row r="653" spans="1:10" thickTop="1" thickBot="1" x14ac:dyDescent="0.6">
      <c r="A653" s="26">
        <v>72</v>
      </c>
      <c r="D653" s="25" t="s">
        <v>2104</v>
      </c>
    </row>
    <row r="654" spans="1:10" thickTop="1" thickBot="1" x14ac:dyDescent="0.6">
      <c r="A654" s="26">
        <v>73</v>
      </c>
      <c r="B654" s="43">
        <v>1151324</v>
      </c>
      <c r="C654" s="6" t="s">
        <v>2127</v>
      </c>
      <c r="D654" s="25" t="s">
        <v>2104</v>
      </c>
      <c r="E654" s="111">
        <v>771333790</v>
      </c>
      <c r="F654" s="4">
        <v>98965</v>
      </c>
      <c r="G654" s="26">
        <v>1</v>
      </c>
      <c r="H654" s="7">
        <v>45626</v>
      </c>
      <c r="J654" s="4" t="s">
        <v>2128</v>
      </c>
    </row>
    <row r="655" spans="1:10" thickTop="1" thickBot="1" x14ac:dyDescent="0.6">
      <c r="A655" s="26">
        <v>74</v>
      </c>
      <c r="D655" s="25" t="s">
        <v>2104</v>
      </c>
    </row>
    <row r="656" spans="1:10" thickTop="1" thickBot="1" x14ac:dyDescent="0.6">
      <c r="A656" s="26">
        <v>75</v>
      </c>
      <c r="D656" s="25" t="s">
        <v>2104</v>
      </c>
    </row>
    <row r="657" spans="1:10" thickTop="1" thickBot="1" x14ac:dyDescent="0.6">
      <c r="A657" s="26">
        <v>76</v>
      </c>
      <c r="D657" s="25" t="s">
        <v>2104</v>
      </c>
    </row>
    <row r="658" spans="1:10" thickTop="1" thickBot="1" x14ac:dyDescent="0.6">
      <c r="A658" s="26">
        <v>77</v>
      </c>
      <c r="D658" s="25" t="s">
        <v>2104</v>
      </c>
    </row>
    <row r="659" spans="1:10" thickTop="1" thickBot="1" x14ac:dyDescent="0.6">
      <c r="A659" s="26">
        <v>78</v>
      </c>
      <c r="B659" s="43">
        <v>1151506</v>
      </c>
      <c r="C659" s="6" t="s">
        <v>3073</v>
      </c>
      <c r="D659" s="25" t="s">
        <v>2104</v>
      </c>
      <c r="E659" s="111">
        <v>776799800</v>
      </c>
      <c r="F659" s="4">
        <v>670029</v>
      </c>
      <c r="G659" s="26">
        <v>1</v>
      </c>
      <c r="H659" s="7">
        <v>45789</v>
      </c>
      <c r="J659" s="4" t="s">
        <v>3075</v>
      </c>
    </row>
    <row r="660" spans="1:10" thickTop="1" thickBot="1" x14ac:dyDescent="0.6">
      <c r="A660" s="26">
        <v>79</v>
      </c>
      <c r="B660" s="43">
        <v>1150869</v>
      </c>
      <c r="C660" s="6" t="s">
        <v>2129</v>
      </c>
      <c r="D660" s="25" t="s">
        <v>2104</v>
      </c>
      <c r="E660" s="111">
        <v>743550890</v>
      </c>
      <c r="F660" s="4">
        <v>147853</v>
      </c>
      <c r="G660" s="26">
        <v>1</v>
      </c>
      <c r="H660" s="7">
        <v>45571</v>
      </c>
      <c r="J660" s="4" t="s">
        <v>2130</v>
      </c>
    </row>
    <row r="661" spans="1:10" thickTop="1" thickBot="1" x14ac:dyDescent="0.6">
      <c r="A661" s="26">
        <v>80</v>
      </c>
      <c r="D661" s="25" t="s">
        <v>2104</v>
      </c>
    </row>
    <row r="662" spans="1:10" thickTop="1" thickBot="1" x14ac:dyDescent="0.6">
      <c r="A662" s="26">
        <v>81</v>
      </c>
      <c r="B662" s="43">
        <v>1150872</v>
      </c>
      <c r="C662" s="6" t="s">
        <v>2131</v>
      </c>
      <c r="D662" s="25" t="s">
        <v>2104</v>
      </c>
      <c r="E662" s="111">
        <v>772027356</v>
      </c>
      <c r="F662" s="4">
        <v>114895</v>
      </c>
      <c r="G662" s="26">
        <v>1</v>
      </c>
      <c r="H662" s="7">
        <v>45571</v>
      </c>
      <c r="J662" s="4" t="s">
        <v>1311</v>
      </c>
    </row>
    <row r="663" spans="1:10" thickTop="1" thickBot="1" x14ac:dyDescent="0.6">
      <c r="A663" s="26">
        <v>82</v>
      </c>
      <c r="D663" s="25" t="s">
        <v>2104</v>
      </c>
    </row>
    <row r="664" spans="1:10" thickTop="1" thickBot="1" x14ac:dyDescent="0.6">
      <c r="A664" s="26">
        <v>83</v>
      </c>
      <c r="B664" s="43">
        <v>1150451</v>
      </c>
      <c r="C664" s="6" t="s">
        <v>2132</v>
      </c>
      <c r="D664" s="25" t="s">
        <v>2104</v>
      </c>
      <c r="E664" s="111">
        <v>743415104</v>
      </c>
      <c r="F664" s="4">
        <v>150170</v>
      </c>
      <c r="G664" s="26">
        <v>1</v>
      </c>
      <c r="H664" s="7">
        <v>45025</v>
      </c>
      <c r="I664" s="7">
        <v>45025</v>
      </c>
      <c r="J664" s="5" t="s">
        <v>2133</v>
      </c>
    </row>
    <row r="665" spans="1:10" thickTop="1" thickBot="1" x14ac:dyDescent="0.6">
      <c r="A665" s="26">
        <v>84</v>
      </c>
      <c r="D665" s="25" t="s">
        <v>2104</v>
      </c>
    </row>
    <row r="666" spans="1:10" thickTop="1" thickBot="1" x14ac:dyDescent="0.6">
      <c r="A666" s="26">
        <v>85</v>
      </c>
      <c r="B666" s="43">
        <v>1150519</v>
      </c>
      <c r="C666" s="6" t="s">
        <v>2134</v>
      </c>
      <c r="D666" s="25" t="s">
        <v>2104</v>
      </c>
      <c r="E666" s="111" t="s">
        <v>2135</v>
      </c>
      <c r="F666" s="4">
        <v>127525</v>
      </c>
      <c r="G666" s="26">
        <v>1</v>
      </c>
      <c r="I666" s="7">
        <v>45231</v>
      </c>
      <c r="J666" s="4" t="s">
        <v>2136</v>
      </c>
    </row>
    <row r="667" spans="1:10" thickTop="1" thickBot="1" x14ac:dyDescent="0.6">
      <c r="A667" s="26">
        <v>86</v>
      </c>
      <c r="D667" s="25" t="s">
        <v>2104</v>
      </c>
    </row>
    <row r="668" spans="1:10" thickTop="1" thickBot="1" x14ac:dyDescent="0.6">
      <c r="A668" s="26">
        <v>87</v>
      </c>
      <c r="D668" s="25" t="s">
        <v>2104</v>
      </c>
    </row>
    <row r="669" spans="1:10" thickTop="1" thickBot="1" x14ac:dyDescent="0.6">
      <c r="A669" s="26">
        <v>88</v>
      </c>
      <c r="B669" s="43">
        <v>1150967</v>
      </c>
      <c r="C669" s="6" t="s">
        <v>2137</v>
      </c>
      <c r="D669" s="25" t="s">
        <v>2104</v>
      </c>
      <c r="E669" s="111">
        <v>778924220</v>
      </c>
      <c r="F669" s="4">
        <v>277767</v>
      </c>
      <c r="G669" s="26">
        <v>1</v>
      </c>
      <c r="H669" s="7">
        <v>45586</v>
      </c>
      <c r="J669" s="4" t="s">
        <v>2138</v>
      </c>
    </row>
    <row r="670" spans="1:10" thickTop="1" thickBot="1" x14ac:dyDescent="0.6">
      <c r="A670" s="26">
        <v>89</v>
      </c>
      <c r="D670" s="25" t="s">
        <v>2104</v>
      </c>
    </row>
    <row r="671" spans="1:10" thickTop="1" thickBot="1" x14ac:dyDescent="0.6">
      <c r="A671" s="26">
        <v>90</v>
      </c>
      <c r="D671" s="25" t="s">
        <v>2104</v>
      </c>
    </row>
    <row r="672" spans="1:10" thickTop="1" thickBot="1" x14ac:dyDescent="0.6">
      <c r="A672" s="26">
        <v>91</v>
      </c>
      <c r="D672" s="25" t="s">
        <v>2104</v>
      </c>
    </row>
    <row r="673" spans="1:10" thickTop="1" thickBot="1" x14ac:dyDescent="0.6">
      <c r="A673" s="26">
        <v>92</v>
      </c>
      <c r="D673" s="25" t="s">
        <v>2104</v>
      </c>
    </row>
    <row r="674" spans="1:10" thickTop="1" thickBot="1" x14ac:dyDescent="0.6">
      <c r="A674" s="26">
        <v>93</v>
      </c>
      <c r="D674" s="25" t="s">
        <v>2104</v>
      </c>
    </row>
    <row r="675" spans="1:10" thickTop="1" thickBot="1" x14ac:dyDescent="0.6">
      <c r="A675" s="26">
        <v>94</v>
      </c>
      <c r="B675" s="43">
        <v>1150177</v>
      </c>
      <c r="C675" s="6" t="s">
        <v>34</v>
      </c>
      <c r="D675" s="25" t="s">
        <v>2104</v>
      </c>
      <c r="F675" s="4">
        <v>337779</v>
      </c>
      <c r="G675" s="26">
        <v>1</v>
      </c>
      <c r="J675" s="4" t="s">
        <v>2139</v>
      </c>
    </row>
    <row r="676" spans="1:10" thickTop="1" thickBot="1" x14ac:dyDescent="0.6">
      <c r="A676" s="26">
        <v>95</v>
      </c>
      <c r="D676" s="25" t="s">
        <v>2104</v>
      </c>
    </row>
    <row r="677" spans="1:10" thickTop="1" thickBot="1" x14ac:dyDescent="0.6">
      <c r="A677" s="26">
        <v>96</v>
      </c>
      <c r="D677" s="25" t="s">
        <v>2104</v>
      </c>
    </row>
    <row r="678" spans="1:10" thickTop="1" thickBot="1" x14ac:dyDescent="0.6">
      <c r="A678" s="26">
        <v>97</v>
      </c>
      <c r="D678" s="25" t="s">
        <v>2104</v>
      </c>
    </row>
    <row r="679" spans="1:10" thickTop="1" thickBot="1" x14ac:dyDescent="0.6">
      <c r="A679" s="26">
        <v>98</v>
      </c>
      <c r="D679" s="25" t="s">
        <v>2104</v>
      </c>
    </row>
    <row r="680" spans="1:10" thickTop="1" thickBot="1" x14ac:dyDescent="0.6">
      <c r="A680" s="26">
        <v>99</v>
      </c>
      <c r="D680" s="25" t="s">
        <v>2104</v>
      </c>
    </row>
    <row r="681" spans="1:10" thickTop="1" thickBot="1" x14ac:dyDescent="0.6">
      <c r="A681" s="26">
        <v>100</v>
      </c>
      <c r="D681" s="25" t="s">
        <v>2104</v>
      </c>
    </row>
    <row r="682" spans="1:10" thickTop="1" thickBot="1" x14ac:dyDescent="0.6">
      <c r="A682" s="26">
        <v>101</v>
      </c>
      <c r="D682" s="25" t="s">
        <v>2104</v>
      </c>
    </row>
    <row r="683" spans="1:10" thickTop="1" thickBot="1" x14ac:dyDescent="0.6">
      <c r="A683" s="26">
        <v>102</v>
      </c>
      <c r="B683" s="43">
        <v>1150055</v>
      </c>
      <c r="C683" s="6" t="s">
        <v>2140</v>
      </c>
      <c r="D683" s="25" t="s">
        <v>2104</v>
      </c>
      <c r="E683" s="111">
        <v>765484338</v>
      </c>
      <c r="F683" s="4">
        <v>731469</v>
      </c>
      <c r="G683" s="26">
        <v>1</v>
      </c>
      <c r="J683" s="5">
        <v>200374500630</v>
      </c>
    </row>
    <row r="684" spans="1:10" thickTop="1" thickBot="1" x14ac:dyDescent="0.6">
      <c r="A684" s="26">
        <v>103</v>
      </c>
      <c r="B684" s="43">
        <v>1150610</v>
      </c>
      <c r="C684" s="6" t="s">
        <v>2141</v>
      </c>
      <c r="D684" s="25" t="s">
        <v>2104</v>
      </c>
      <c r="E684" s="111">
        <v>762666946</v>
      </c>
      <c r="F684" s="4" t="str">
        <f>"0"&amp;94741</f>
        <v>094741</v>
      </c>
      <c r="G684" s="26">
        <v>1</v>
      </c>
      <c r="H684" s="7">
        <v>45304</v>
      </c>
      <c r="J684" s="4">
        <v>197820403846</v>
      </c>
    </row>
    <row r="685" spans="1:10" thickTop="1" thickBot="1" x14ac:dyDescent="0.6">
      <c r="A685" s="26">
        <v>104</v>
      </c>
      <c r="D685" s="25" t="s">
        <v>2104</v>
      </c>
    </row>
    <row r="686" spans="1:10" thickTop="1" thickBot="1" x14ac:dyDescent="0.6">
      <c r="A686" s="26">
        <v>105</v>
      </c>
      <c r="D686" s="25" t="s">
        <v>2104</v>
      </c>
    </row>
    <row r="687" spans="1:10" thickTop="1" thickBot="1" x14ac:dyDescent="0.6">
      <c r="A687" s="26">
        <v>106</v>
      </c>
      <c r="B687" s="43">
        <v>1150984</v>
      </c>
      <c r="C687" s="6" t="s">
        <v>2142</v>
      </c>
      <c r="D687" s="25" t="s">
        <v>2104</v>
      </c>
      <c r="E687" s="111" t="s">
        <v>2143</v>
      </c>
      <c r="F687" s="4">
        <v>451982</v>
      </c>
      <c r="G687" s="26">
        <v>1</v>
      </c>
      <c r="H687" s="7">
        <v>45590</v>
      </c>
      <c r="J687" s="4" t="s">
        <v>2144</v>
      </c>
    </row>
    <row r="688" spans="1:10" thickTop="1" thickBot="1" x14ac:dyDescent="0.6">
      <c r="A688" s="26">
        <v>107</v>
      </c>
      <c r="B688" s="43">
        <v>1151401</v>
      </c>
      <c r="C688" s="6" t="s">
        <v>2771</v>
      </c>
      <c r="D688" s="25" t="s">
        <v>2104</v>
      </c>
      <c r="E688" s="111">
        <v>764795536</v>
      </c>
      <c r="F688" s="4">
        <v>671431</v>
      </c>
      <c r="G688" s="26">
        <v>1</v>
      </c>
      <c r="H688" s="7">
        <v>45713</v>
      </c>
    </row>
    <row r="689" spans="1:10" thickTop="1" thickBot="1" x14ac:dyDescent="0.6">
      <c r="A689" s="26">
        <v>108</v>
      </c>
      <c r="D689" s="25" t="s">
        <v>2104</v>
      </c>
    </row>
    <row r="690" spans="1:10" thickTop="1" thickBot="1" x14ac:dyDescent="0.6">
      <c r="A690" s="26">
        <v>109</v>
      </c>
      <c r="D690" s="25" t="s">
        <v>2104</v>
      </c>
    </row>
    <row r="691" spans="1:10" thickTop="1" thickBot="1" x14ac:dyDescent="0.6">
      <c r="A691" s="26">
        <v>110</v>
      </c>
      <c r="B691" s="43">
        <v>1150933</v>
      </c>
      <c r="C691" s="6" t="s">
        <v>2145</v>
      </c>
      <c r="D691" s="25" t="s">
        <v>2104</v>
      </c>
      <c r="E691" s="111">
        <v>756369856</v>
      </c>
      <c r="F691" s="4">
        <v>304280</v>
      </c>
      <c r="G691" s="26">
        <v>1</v>
      </c>
      <c r="H691" s="7">
        <v>45580</v>
      </c>
      <c r="J691" s="4">
        <v>199508210015</v>
      </c>
    </row>
    <row r="692" spans="1:10" thickTop="1" thickBot="1" x14ac:dyDescent="0.6">
      <c r="A692" s="26">
        <v>111</v>
      </c>
      <c r="B692" s="43">
        <v>1151465</v>
      </c>
      <c r="C692" s="6" t="s">
        <v>2945</v>
      </c>
      <c r="D692" s="25" t="s">
        <v>2104</v>
      </c>
      <c r="E692" s="111" t="s">
        <v>2946</v>
      </c>
      <c r="F692" s="4">
        <v>492903</v>
      </c>
      <c r="G692" s="26">
        <v>1</v>
      </c>
      <c r="H692" s="7">
        <v>45754</v>
      </c>
      <c r="J692" s="4" t="s">
        <v>2947</v>
      </c>
    </row>
    <row r="693" spans="1:10" thickTop="1" thickBot="1" x14ac:dyDescent="0.6">
      <c r="A693" s="26">
        <v>112</v>
      </c>
      <c r="B693" s="43">
        <v>1151393</v>
      </c>
      <c r="C693" s="6" t="s">
        <v>2750</v>
      </c>
      <c r="D693" s="25" t="s">
        <v>2104</v>
      </c>
      <c r="E693" s="111" t="s">
        <v>2751</v>
      </c>
      <c r="F693" s="4">
        <v>673049</v>
      </c>
      <c r="G693" s="26">
        <v>1</v>
      </c>
      <c r="H693" s="7">
        <v>45708</v>
      </c>
    </row>
    <row r="694" spans="1:10" thickTop="1" thickBot="1" x14ac:dyDescent="0.6">
      <c r="A694" s="26">
        <v>113</v>
      </c>
      <c r="B694" s="43">
        <v>1150232</v>
      </c>
      <c r="C694" s="6" t="s">
        <v>2146</v>
      </c>
      <c r="D694" s="25" t="s">
        <v>2104</v>
      </c>
      <c r="E694" s="111">
        <v>765394905</v>
      </c>
      <c r="F694" s="4">
        <v>720396</v>
      </c>
      <c r="G694" s="26">
        <v>1</v>
      </c>
      <c r="J694" s="5"/>
    </row>
    <row r="695" spans="1:10" thickTop="1" thickBot="1" x14ac:dyDescent="0.6">
      <c r="A695" s="26">
        <v>114</v>
      </c>
      <c r="D695" s="25" t="s">
        <v>2104</v>
      </c>
    </row>
    <row r="696" spans="1:10" thickTop="1" thickBot="1" x14ac:dyDescent="0.6">
      <c r="A696" s="26">
        <v>115</v>
      </c>
      <c r="D696" s="25" t="s">
        <v>2104</v>
      </c>
    </row>
    <row r="697" spans="1:10" thickTop="1" thickBot="1" x14ac:dyDescent="0.6">
      <c r="A697" s="26">
        <v>116</v>
      </c>
      <c r="B697" s="43">
        <v>1151286</v>
      </c>
      <c r="C697" s="6" t="s">
        <v>2147</v>
      </c>
      <c r="D697" s="25" t="s">
        <v>2104</v>
      </c>
      <c r="E697" s="111" t="s">
        <v>2148</v>
      </c>
      <c r="F697" s="4">
        <v>327695</v>
      </c>
      <c r="G697" s="26">
        <v>1</v>
      </c>
      <c r="H697" s="7">
        <v>45612</v>
      </c>
      <c r="I697" s="7"/>
      <c r="J697" s="5" t="s">
        <v>2149</v>
      </c>
    </row>
    <row r="698" spans="1:10" thickTop="1" thickBot="1" x14ac:dyDescent="0.6">
      <c r="A698" s="26">
        <v>117</v>
      </c>
      <c r="D698" s="25" t="s">
        <v>2104</v>
      </c>
    </row>
    <row r="699" spans="1:10" thickTop="1" thickBot="1" x14ac:dyDescent="0.6">
      <c r="A699" s="26">
        <v>118</v>
      </c>
      <c r="D699" s="25" t="s">
        <v>2104</v>
      </c>
    </row>
    <row r="700" spans="1:10" thickTop="1" thickBot="1" x14ac:dyDescent="0.6">
      <c r="A700" s="26">
        <v>119</v>
      </c>
      <c r="D700" s="25" t="s">
        <v>2104</v>
      </c>
    </row>
    <row r="701" spans="1:10" thickTop="1" thickBot="1" x14ac:dyDescent="0.6">
      <c r="A701" s="26">
        <v>120</v>
      </c>
      <c r="B701" s="43">
        <v>1150469</v>
      </c>
      <c r="C701" s="6" t="s">
        <v>2995</v>
      </c>
      <c r="D701" s="25" t="s">
        <v>2104</v>
      </c>
      <c r="E701" s="111">
        <v>717471697</v>
      </c>
      <c r="F701" s="4">
        <v>5.5437E-2</v>
      </c>
      <c r="G701" s="26">
        <v>1</v>
      </c>
      <c r="H701" s="7">
        <v>45589</v>
      </c>
      <c r="J701" s="4" t="s">
        <v>2150</v>
      </c>
    </row>
    <row r="702" spans="1:10" thickTop="1" thickBot="1" x14ac:dyDescent="0.6">
      <c r="A702" s="26">
        <v>121</v>
      </c>
      <c r="D702" s="25" t="s">
        <v>2104</v>
      </c>
    </row>
    <row r="703" spans="1:10" thickTop="1" thickBot="1" x14ac:dyDescent="0.6">
      <c r="A703" s="26">
        <v>122</v>
      </c>
      <c r="C703" s="6" t="s">
        <v>2151</v>
      </c>
      <c r="D703" s="25" t="s">
        <v>2104</v>
      </c>
    </row>
    <row r="704" spans="1:10" thickTop="1" thickBot="1" x14ac:dyDescent="0.6">
      <c r="A704" s="26">
        <v>123</v>
      </c>
      <c r="D704" s="25" t="s">
        <v>2104</v>
      </c>
    </row>
    <row r="705" spans="1:10" thickTop="1" thickBot="1" x14ac:dyDescent="0.6">
      <c r="A705" s="26">
        <v>124</v>
      </c>
      <c r="D705" s="25" t="s">
        <v>2104</v>
      </c>
    </row>
    <row r="706" spans="1:10" thickTop="1" thickBot="1" x14ac:dyDescent="0.6">
      <c r="A706" s="26">
        <v>125</v>
      </c>
      <c r="D706" s="25" t="s">
        <v>2104</v>
      </c>
    </row>
    <row r="707" spans="1:10" thickTop="1" thickBot="1" x14ac:dyDescent="0.6">
      <c r="A707" s="26">
        <v>126</v>
      </c>
      <c r="B707" s="43">
        <v>1151531</v>
      </c>
      <c r="C707" s="6" t="s">
        <v>3265</v>
      </c>
      <c r="D707" s="25" t="s">
        <v>2104</v>
      </c>
      <c r="E707" s="111">
        <v>750170117</v>
      </c>
      <c r="F707" s="4">
        <v>495823</v>
      </c>
      <c r="G707" s="26">
        <v>1</v>
      </c>
      <c r="H707" s="7">
        <v>45830</v>
      </c>
      <c r="J707" s="4" t="s">
        <v>3266</v>
      </c>
    </row>
    <row r="708" spans="1:10" thickTop="1" thickBot="1" x14ac:dyDescent="0.6">
      <c r="A708" s="26">
        <v>127</v>
      </c>
      <c r="B708" s="43">
        <v>1151294</v>
      </c>
      <c r="C708" s="6" t="s">
        <v>2152</v>
      </c>
      <c r="D708" s="25" t="s">
        <v>2104</v>
      </c>
      <c r="E708" s="111">
        <v>779287820</v>
      </c>
      <c r="F708" s="4">
        <v>163488</v>
      </c>
      <c r="G708" s="26">
        <v>1</v>
      </c>
      <c r="H708" s="7">
        <v>45613</v>
      </c>
      <c r="J708" s="4" t="s">
        <v>2153</v>
      </c>
    </row>
    <row r="709" spans="1:10" thickTop="1" thickBot="1" x14ac:dyDescent="0.6">
      <c r="A709" s="26">
        <v>128</v>
      </c>
      <c r="B709" s="43">
        <v>1151292</v>
      </c>
      <c r="C709" s="6" t="s">
        <v>2154</v>
      </c>
      <c r="D709" s="25" t="s">
        <v>2104</v>
      </c>
      <c r="E709" s="111" t="s">
        <v>2155</v>
      </c>
      <c r="F709" s="4">
        <v>339583</v>
      </c>
      <c r="G709" s="26">
        <v>1</v>
      </c>
      <c r="H709" s="7">
        <v>45612</v>
      </c>
      <c r="J709" s="4">
        <v>196219204273</v>
      </c>
    </row>
    <row r="710" spans="1:10" thickTop="1" thickBot="1" x14ac:dyDescent="0.6">
      <c r="A710" s="26">
        <v>129</v>
      </c>
      <c r="D710" s="25" t="s">
        <v>2104</v>
      </c>
    </row>
    <row r="711" spans="1:10" thickTop="1" thickBot="1" x14ac:dyDescent="0.6">
      <c r="A711" s="26">
        <v>130</v>
      </c>
      <c r="D711" s="25" t="s">
        <v>2104</v>
      </c>
    </row>
    <row r="712" spans="1:10" thickTop="1" thickBot="1" x14ac:dyDescent="0.6">
      <c r="A712" s="26">
        <v>131</v>
      </c>
      <c r="D712" s="25" t="s">
        <v>2104</v>
      </c>
    </row>
    <row r="713" spans="1:10" thickTop="1" thickBot="1" x14ac:dyDescent="0.6">
      <c r="A713" s="26">
        <v>132</v>
      </c>
      <c r="D713" s="25" t="s">
        <v>2104</v>
      </c>
    </row>
    <row r="714" spans="1:10" thickTop="1" thickBot="1" x14ac:dyDescent="0.6">
      <c r="A714" s="26">
        <v>133</v>
      </c>
      <c r="D714" s="25" t="s">
        <v>2104</v>
      </c>
    </row>
    <row r="715" spans="1:10" thickTop="1" thickBot="1" x14ac:dyDescent="0.6">
      <c r="A715" s="26">
        <v>134</v>
      </c>
      <c r="D715" s="25" t="s">
        <v>2104</v>
      </c>
    </row>
    <row r="716" spans="1:10" thickTop="1" thickBot="1" x14ac:dyDescent="0.6">
      <c r="A716" s="26">
        <v>135</v>
      </c>
      <c r="D716" s="25" t="s">
        <v>2104</v>
      </c>
    </row>
    <row r="717" spans="1:10" thickTop="1" thickBot="1" x14ac:dyDescent="0.6">
      <c r="A717" s="26">
        <v>136</v>
      </c>
      <c r="D717" s="25" t="s">
        <v>2104</v>
      </c>
    </row>
    <row r="718" spans="1:10" thickTop="1" thickBot="1" x14ac:dyDescent="0.6">
      <c r="A718" s="26">
        <v>137</v>
      </c>
      <c r="D718" s="25" t="s">
        <v>2104</v>
      </c>
    </row>
    <row r="719" spans="1:10" thickTop="1" thickBot="1" x14ac:dyDescent="0.6">
      <c r="A719" s="26">
        <v>138</v>
      </c>
      <c r="D719" s="25" t="s">
        <v>2104</v>
      </c>
    </row>
    <row r="720" spans="1:10" thickTop="1" thickBot="1" x14ac:dyDescent="0.6">
      <c r="A720" s="26">
        <v>139</v>
      </c>
      <c r="D720" s="25" t="s">
        <v>2104</v>
      </c>
    </row>
    <row r="721" spans="1:10" thickTop="1" thickBot="1" x14ac:dyDescent="0.6">
      <c r="A721" s="26">
        <v>140</v>
      </c>
      <c r="B721" s="43">
        <v>1150650</v>
      </c>
      <c r="C721" s="6" t="s">
        <v>2157</v>
      </c>
      <c r="D721" s="25" t="s">
        <v>2104</v>
      </c>
      <c r="E721" s="111">
        <v>765845062</v>
      </c>
      <c r="F721" s="4">
        <v>144603</v>
      </c>
      <c r="G721" s="26">
        <v>1</v>
      </c>
      <c r="H721" s="7">
        <v>45360</v>
      </c>
      <c r="J721" s="4" t="s">
        <v>2158</v>
      </c>
    </row>
    <row r="722" spans="1:10" thickTop="1" thickBot="1" x14ac:dyDescent="0.6">
      <c r="A722" s="26">
        <v>1</v>
      </c>
      <c r="D722" s="25" t="s">
        <v>2160</v>
      </c>
    </row>
    <row r="723" spans="1:10" thickTop="1" thickBot="1" x14ac:dyDescent="0.6">
      <c r="A723" s="26">
        <v>2</v>
      </c>
      <c r="D723" s="25" t="s">
        <v>2160</v>
      </c>
    </row>
    <row r="724" spans="1:10" thickTop="1" thickBot="1" x14ac:dyDescent="0.6">
      <c r="A724" s="26">
        <v>3</v>
      </c>
      <c r="B724" s="43">
        <v>1151563</v>
      </c>
      <c r="C724" s="6" t="s">
        <v>3304</v>
      </c>
      <c r="D724" s="25" t="s">
        <v>2160</v>
      </c>
      <c r="F724" s="4">
        <v>618978</v>
      </c>
      <c r="G724" s="26">
        <v>1</v>
      </c>
      <c r="H724" s="7">
        <v>45867</v>
      </c>
    </row>
    <row r="725" spans="1:10" thickTop="1" thickBot="1" x14ac:dyDescent="0.6">
      <c r="A725" s="26">
        <v>4</v>
      </c>
      <c r="B725" s="43">
        <v>1151580</v>
      </c>
      <c r="C725" s="6" t="s">
        <v>3355</v>
      </c>
      <c r="D725" s="25" t="s">
        <v>2160</v>
      </c>
      <c r="E725" s="111">
        <v>776085435</v>
      </c>
      <c r="F725" s="4">
        <v>949993</v>
      </c>
      <c r="G725" s="26">
        <v>1</v>
      </c>
      <c r="H725" s="7">
        <v>45915</v>
      </c>
      <c r="J725" s="4" t="s">
        <v>3356</v>
      </c>
    </row>
    <row r="726" spans="1:10" thickTop="1" thickBot="1" x14ac:dyDescent="0.6">
      <c r="A726" s="26">
        <v>5</v>
      </c>
      <c r="B726" s="43">
        <v>1151513</v>
      </c>
      <c r="C726" s="6" t="s">
        <v>3094</v>
      </c>
      <c r="D726" s="25" t="s">
        <v>2160</v>
      </c>
      <c r="E726" s="111">
        <v>770173789</v>
      </c>
      <c r="F726" s="4">
        <v>662075</v>
      </c>
      <c r="G726" s="26">
        <v>1</v>
      </c>
      <c r="H726" s="7">
        <v>45800</v>
      </c>
      <c r="J726" s="4" t="s">
        <v>3095</v>
      </c>
    </row>
    <row r="727" spans="1:10" thickTop="1" thickBot="1" x14ac:dyDescent="0.6">
      <c r="A727" s="26">
        <v>6</v>
      </c>
      <c r="D727" s="25" t="s">
        <v>2160</v>
      </c>
    </row>
    <row r="728" spans="1:10" thickTop="1" thickBot="1" x14ac:dyDescent="0.6">
      <c r="A728" s="26">
        <v>7</v>
      </c>
      <c r="B728" s="43">
        <v>1151035</v>
      </c>
      <c r="C728" s="6" t="s">
        <v>2161</v>
      </c>
      <c r="D728" s="25" t="s">
        <v>2160</v>
      </c>
      <c r="E728" s="111">
        <v>742435409</v>
      </c>
      <c r="F728" s="4" t="s">
        <v>2162</v>
      </c>
      <c r="G728" s="26">
        <v>2</v>
      </c>
      <c r="H728" s="7">
        <v>45595</v>
      </c>
      <c r="J728" s="4" t="s">
        <v>2163</v>
      </c>
    </row>
    <row r="729" spans="1:10" thickTop="1" thickBot="1" x14ac:dyDescent="0.6">
      <c r="A729" s="26">
        <v>8</v>
      </c>
      <c r="B729" s="43">
        <v>1151377</v>
      </c>
      <c r="C729" s="6" t="s">
        <v>2716</v>
      </c>
      <c r="D729" s="25" t="s">
        <v>2160</v>
      </c>
      <c r="F729" s="4">
        <v>431299</v>
      </c>
      <c r="G729" s="26">
        <v>1</v>
      </c>
      <c r="H729" s="7">
        <v>45699</v>
      </c>
    </row>
    <row r="730" spans="1:10" thickTop="1" thickBot="1" x14ac:dyDescent="0.6">
      <c r="A730" s="26">
        <v>9</v>
      </c>
      <c r="B730" s="43">
        <v>1151087</v>
      </c>
      <c r="C730" s="6" t="s">
        <v>2164</v>
      </c>
      <c r="D730" s="25" t="s">
        <v>2160</v>
      </c>
      <c r="E730" s="111">
        <v>719708730</v>
      </c>
      <c r="F730" s="4">
        <v>189640</v>
      </c>
      <c r="G730" s="26">
        <v>1</v>
      </c>
      <c r="H730" s="7">
        <v>45602</v>
      </c>
      <c r="J730" s="4" t="s">
        <v>2165</v>
      </c>
    </row>
    <row r="731" spans="1:10" thickTop="1" thickBot="1" x14ac:dyDescent="0.6">
      <c r="A731" s="26">
        <v>10</v>
      </c>
      <c r="B731" s="43">
        <v>1151126</v>
      </c>
      <c r="C731" s="6" t="s">
        <v>2166</v>
      </c>
      <c r="D731" s="25" t="s">
        <v>2160</v>
      </c>
      <c r="E731" s="111">
        <v>776731445</v>
      </c>
      <c r="F731" s="4">
        <v>283534</v>
      </c>
      <c r="G731" s="26">
        <v>1</v>
      </c>
      <c r="H731" s="7">
        <v>45604</v>
      </c>
      <c r="J731" s="4" t="s">
        <v>2167</v>
      </c>
    </row>
    <row r="732" spans="1:10" thickTop="1" thickBot="1" x14ac:dyDescent="0.6">
      <c r="A732" s="26">
        <v>11</v>
      </c>
      <c r="D732" s="25" t="s">
        <v>2160</v>
      </c>
    </row>
    <row r="733" spans="1:10" thickTop="1" thickBot="1" x14ac:dyDescent="0.6">
      <c r="A733" s="26">
        <v>12</v>
      </c>
      <c r="D733" s="25" t="s">
        <v>2160</v>
      </c>
    </row>
    <row r="734" spans="1:10" thickTop="1" thickBot="1" x14ac:dyDescent="0.6">
      <c r="A734" s="26">
        <v>13</v>
      </c>
      <c r="B734" s="43">
        <v>1151249</v>
      </c>
      <c r="C734" s="6" t="s">
        <v>2168</v>
      </c>
      <c r="D734" s="25" t="s">
        <v>2160</v>
      </c>
      <c r="E734" s="111">
        <v>778366111</v>
      </c>
      <c r="F734" s="4">
        <v>383730</v>
      </c>
      <c r="G734" s="26">
        <v>1</v>
      </c>
      <c r="H734" s="7">
        <v>45609</v>
      </c>
      <c r="J734" s="4" t="s">
        <v>2169</v>
      </c>
    </row>
    <row r="735" spans="1:10" thickTop="1" thickBot="1" x14ac:dyDescent="0.6">
      <c r="A735" s="26">
        <v>14</v>
      </c>
      <c r="B735" s="43">
        <v>1150901</v>
      </c>
      <c r="C735" s="6" t="s">
        <v>2170</v>
      </c>
      <c r="D735" s="25" t="s">
        <v>2160</v>
      </c>
      <c r="E735" s="111">
        <v>778201976</v>
      </c>
      <c r="F735" s="4">
        <v>270135</v>
      </c>
      <c r="G735" s="26">
        <v>1</v>
      </c>
      <c r="H735" s="7">
        <v>45576</v>
      </c>
      <c r="J735" s="4">
        <v>197501701524</v>
      </c>
    </row>
    <row r="736" spans="1:10" thickTop="1" thickBot="1" x14ac:dyDescent="0.6">
      <c r="A736" s="26">
        <v>15</v>
      </c>
      <c r="D736" s="25" t="s">
        <v>2160</v>
      </c>
    </row>
    <row r="737" spans="1:10" thickTop="1" thickBot="1" x14ac:dyDescent="0.6">
      <c r="A737" s="26">
        <v>16</v>
      </c>
      <c r="D737" s="25" t="s">
        <v>2160</v>
      </c>
    </row>
    <row r="738" spans="1:10" thickTop="1" thickBot="1" x14ac:dyDescent="0.6">
      <c r="A738" s="26">
        <v>17</v>
      </c>
      <c r="B738" s="43">
        <v>1151303</v>
      </c>
      <c r="C738" s="6" t="s">
        <v>2171</v>
      </c>
      <c r="D738" s="25" t="s">
        <v>2160</v>
      </c>
      <c r="F738" s="4">
        <v>318199</v>
      </c>
      <c r="G738" s="26">
        <v>1</v>
      </c>
      <c r="H738" s="7">
        <v>45618</v>
      </c>
    </row>
    <row r="739" spans="1:10" thickTop="1" thickBot="1" x14ac:dyDescent="0.6">
      <c r="A739" s="26">
        <v>18</v>
      </c>
      <c r="B739" s="43">
        <v>1150903</v>
      </c>
      <c r="C739" s="6" t="s">
        <v>2172</v>
      </c>
      <c r="D739" s="25" t="s">
        <v>2160</v>
      </c>
      <c r="E739" s="111">
        <v>767175045</v>
      </c>
      <c r="F739" s="4">
        <v>170814</v>
      </c>
      <c r="G739" s="26">
        <v>1</v>
      </c>
      <c r="H739" s="7">
        <v>45576</v>
      </c>
      <c r="J739" s="4" t="s">
        <v>2173</v>
      </c>
    </row>
    <row r="740" spans="1:10" thickTop="1" thickBot="1" x14ac:dyDescent="0.6">
      <c r="A740" s="26">
        <v>19</v>
      </c>
      <c r="B740" s="43">
        <v>1151058</v>
      </c>
      <c r="C740" s="6" t="s">
        <v>2174</v>
      </c>
      <c r="D740" s="25" t="s">
        <v>2160</v>
      </c>
      <c r="E740" s="111">
        <v>713955264</v>
      </c>
      <c r="F740" s="4">
        <v>303423</v>
      </c>
      <c r="G740" s="26">
        <v>1</v>
      </c>
      <c r="H740" s="7">
        <v>45601</v>
      </c>
      <c r="J740" s="4" t="s">
        <v>2175</v>
      </c>
    </row>
    <row r="741" spans="1:10" thickTop="1" thickBot="1" x14ac:dyDescent="0.6">
      <c r="A741" s="26">
        <v>20</v>
      </c>
      <c r="D741" s="25" t="s">
        <v>2160</v>
      </c>
    </row>
    <row r="742" spans="1:10" thickTop="1" thickBot="1" x14ac:dyDescent="0.6">
      <c r="A742" s="26">
        <v>21</v>
      </c>
      <c r="B742" s="43">
        <v>1151237</v>
      </c>
      <c r="C742" s="6" t="s">
        <v>2176</v>
      </c>
      <c r="D742" s="25" t="s">
        <v>2160</v>
      </c>
      <c r="E742" s="111">
        <v>766353349</v>
      </c>
      <c r="F742" s="4">
        <v>385883</v>
      </c>
      <c r="G742" s="26">
        <v>1</v>
      </c>
      <c r="H742" s="7">
        <v>45609</v>
      </c>
      <c r="J742" s="4">
        <v>200477604381</v>
      </c>
    </row>
    <row r="743" spans="1:10" thickTop="1" thickBot="1" x14ac:dyDescent="0.6">
      <c r="A743" s="26">
        <v>22</v>
      </c>
      <c r="B743" s="43">
        <v>1151414</v>
      </c>
      <c r="C743" s="6" t="s">
        <v>2791</v>
      </c>
      <c r="D743" s="25" t="s">
        <v>2160</v>
      </c>
      <c r="E743" s="111">
        <v>759331808</v>
      </c>
      <c r="F743" s="4">
        <v>552888</v>
      </c>
      <c r="G743" s="26">
        <v>1</v>
      </c>
      <c r="H743" s="7">
        <v>45719</v>
      </c>
      <c r="J743" s="4" t="s">
        <v>2186</v>
      </c>
    </row>
    <row r="744" spans="1:10" thickTop="1" thickBot="1" x14ac:dyDescent="0.6">
      <c r="A744" s="26">
        <v>23</v>
      </c>
      <c r="B744" s="43">
        <v>1151581</v>
      </c>
      <c r="C744" s="6" t="s">
        <v>3357</v>
      </c>
      <c r="D744" s="25" t="s">
        <v>2160</v>
      </c>
      <c r="E744" s="111" t="s">
        <v>3358</v>
      </c>
      <c r="F744" s="4">
        <v>952245</v>
      </c>
      <c r="G744" s="26">
        <v>1</v>
      </c>
      <c r="H744" s="7">
        <v>45915</v>
      </c>
    </row>
    <row r="745" spans="1:10" thickTop="1" thickBot="1" x14ac:dyDescent="0.6">
      <c r="A745" s="26">
        <v>24</v>
      </c>
      <c r="B745" s="43">
        <v>1151113</v>
      </c>
      <c r="C745" s="6" t="s">
        <v>2177</v>
      </c>
      <c r="D745" s="25" t="s">
        <v>2160</v>
      </c>
      <c r="E745" s="111">
        <v>719197278</v>
      </c>
      <c r="F745" s="4">
        <v>320443</v>
      </c>
      <c r="G745" s="26">
        <v>1</v>
      </c>
      <c r="H745" s="7">
        <v>45604</v>
      </c>
      <c r="J745" s="4" t="s">
        <v>2178</v>
      </c>
    </row>
    <row r="746" spans="1:10" thickTop="1" thickBot="1" x14ac:dyDescent="0.6">
      <c r="A746" s="26">
        <v>25</v>
      </c>
      <c r="B746" s="43">
        <v>1150902</v>
      </c>
      <c r="C746" s="6" t="s">
        <v>2179</v>
      </c>
      <c r="D746" s="25" t="s">
        <v>2160</v>
      </c>
      <c r="E746" s="111">
        <v>768465122</v>
      </c>
      <c r="F746" s="4">
        <v>409949</v>
      </c>
      <c r="G746" s="26">
        <v>1</v>
      </c>
      <c r="H746" s="7">
        <v>45576</v>
      </c>
      <c r="J746" s="4" t="s">
        <v>2180</v>
      </c>
    </row>
    <row r="747" spans="1:10" thickTop="1" thickBot="1" x14ac:dyDescent="0.6">
      <c r="A747" s="26">
        <v>26</v>
      </c>
      <c r="D747" s="25" t="s">
        <v>2160</v>
      </c>
    </row>
    <row r="748" spans="1:10" thickTop="1" thickBot="1" x14ac:dyDescent="0.6">
      <c r="A748" s="26">
        <v>27</v>
      </c>
      <c r="B748" s="43">
        <v>1151270</v>
      </c>
      <c r="C748" s="6" t="s">
        <v>2827</v>
      </c>
      <c r="D748" s="25" t="s">
        <v>2160</v>
      </c>
      <c r="E748" s="111">
        <v>766605450</v>
      </c>
      <c r="F748" s="4">
        <v>256316</v>
      </c>
      <c r="G748" s="26">
        <v>1</v>
      </c>
      <c r="H748" s="7">
        <v>45610</v>
      </c>
      <c r="J748" s="4">
        <v>196732605030</v>
      </c>
    </row>
    <row r="749" spans="1:10" thickTop="1" thickBot="1" x14ac:dyDescent="0.6">
      <c r="A749" s="26">
        <v>28</v>
      </c>
      <c r="D749" s="25" t="s">
        <v>2160</v>
      </c>
    </row>
    <row r="750" spans="1:10" thickTop="1" thickBot="1" x14ac:dyDescent="0.6">
      <c r="A750" s="26">
        <v>29</v>
      </c>
      <c r="D750" s="25" t="s">
        <v>2160</v>
      </c>
    </row>
    <row r="751" spans="1:10" thickTop="1" thickBot="1" x14ac:dyDescent="0.6">
      <c r="A751" s="26">
        <v>30</v>
      </c>
      <c r="D751" s="25" t="s">
        <v>2160</v>
      </c>
    </row>
    <row r="752" spans="1:10" thickTop="1" thickBot="1" x14ac:dyDescent="0.6">
      <c r="A752" s="26">
        <v>31</v>
      </c>
      <c r="B752" s="43">
        <v>1150396</v>
      </c>
      <c r="C752" s="6" t="s">
        <v>2181</v>
      </c>
      <c r="D752" s="25" t="s">
        <v>2160</v>
      </c>
      <c r="E752" s="111">
        <v>740942855</v>
      </c>
      <c r="F752" s="4">
        <v>719738</v>
      </c>
      <c r="G752" s="26">
        <v>1</v>
      </c>
    </row>
    <row r="753" spans="1:10" thickTop="1" thickBot="1" x14ac:dyDescent="0.6">
      <c r="A753" s="26">
        <v>32</v>
      </c>
      <c r="B753" s="43">
        <v>1150963</v>
      </c>
      <c r="C753" s="6" t="s">
        <v>2182</v>
      </c>
      <c r="D753" s="25" t="s">
        <v>2160</v>
      </c>
      <c r="E753" s="111">
        <v>743440602</v>
      </c>
      <c r="F753" s="4">
        <v>254048</v>
      </c>
      <c r="G753" s="26">
        <v>1</v>
      </c>
      <c r="H753" s="7">
        <v>45584</v>
      </c>
      <c r="J753" s="4" t="s">
        <v>2183</v>
      </c>
    </row>
    <row r="754" spans="1:10" thickTop="1" thickBot="1" x14ac:dyDescent="0.6">
      <c r="A754" s="26">
        <v>33</v>
      </c>
      <c r="D754" s="25" t="s">
        <v>2160</v>
      </c>
    </row>
    <row r="755" spans="1:10" thickTop="1" thickBot="1" x14ac:dyDescent="0.6">
      <c r="A755" s="26">
        <v>34</v>
      </c>
      <c r="B755" s="43">
        <v>1151246</v>
      </c>
      <c r="C755" s="6" t="s">
        <v>2184</v>
      </c>
      <c r="D755" s="25" t="s">
        <v>2160</v>
      </c>
      <c r="E755" s="111" t="s">
        <v>2185</v>
      </c>
      <c r="F755" s="4">
        <v>289838</v>
      </c>
      <c r="G755" s="26">
        <v>1</v>
      </c>
      <c r="H755" s="7">
        <v>45609</v>
      </c>
      <c r="J755" s="4" t="s">
        <v>2186</v>
      </c>
    </row>
    <row r="756" spans="1:10" thickTop="1" thickBot="1" x14ac:dyDescent="0.6">
      <c r="A756" s="26">
        <v>35</v>
      </c>
      <c r="B756" s="43">
        <v>1151124</v>
      </c>
      <c r="C756" s="6" t="s">
        <v>2187</v>
      </c>
      <c r="D756" s="25" t="s">
        <v>2160</v>
      </c>
      <c r="E756" s="111">
        <v>760134443</v>
      </c>
      <c r="F756" s="4">
        <v>336894</v>
      </c>
      <c r="G756" s="26">
        <v>1</v>
      </c>
      <c r="H756" s="7">
        <v>45604</v>
      </c>
      <c r="J756" s="4">
        <v>200135203970</v>
      </c>
    </row>
    <row r="757" spans="1:10" thickTop="1" thickBot="1" x14ac:dyDescent="0.6">
      <c r="A757" s="26">
        <v>36</v>
      </c>
      <c r="B757" s="43">
        <v>1151143</v>
      </c>
      <c r="C757" s="6" t="s">
        <v>2188</v>
      </c>
      <c r="D757" s="25" t="s">
        <v>2160</v>
      </c>
      <c r="E757" s="111">
        <v>761755613</v>
      </c>
      <c r="F757" s="4">
        <v>227986</v>
      </c>
      <c r="G757" s="26">
        <v>1</v>
      </c>
      <c r="H757" s="7">
        <v>45605</v>
      </c>
      <c r="J757" s="4" t="s">
        <v>2189</v>
      </c>
    </row>
    <row r="758" spans="1:10" thickTop="1" thickBot="1" x14ac:dyDescent="0.6">
      <c r="A758" s="26">
        <v>37</v>
      </c>
      <c r="B758" s="43">
        <v>1151040</v>
      </c>
      <c r="C758" s="6" t="s">
        <v>2190</v>
      </c>
      <c r="D758" s="25" t="s">
        <v>2160</v>
      </c>
      <c r="F758" s="4">
        <v>395817</v>
      </c>
      <c r="G758" s="26">
        <v>1</v>
      </c>
      <c r="H758" s="7">
        <v>45595</v>
      </c>
      <c r="J758" s="4" t="s">
        <v>2191</v>
      </c>
    </row>
    <row r="759" spans="1:10" thickTop="1" thickBot="1" x14ac:dyDescent="0.6">
      <c r="A759" s="26">
        <v>38</v>
      </c>
      <c r="B759" s="43">
        <v>1151020</v>
      </c>
      <c r="C759" s="6" t="s">
        <v>2192</v>
      </c>
      <c r="D759" s="25" t="s">
        <v>2160</v>
      </c>
      <c r="E759" s="111">
        <v>761755613</v>
      </c>
      <c r="F759" s="4">
        <v>194384</v>
      </c>
      <c r="G759" s="26">
        <v>1</v>
      </c>
      <c r="H759" s="7">
        <v>45593</v>
      </c>
      <c r="J759" s="4" t="s">
        <v>2193</v>
      </c>
    </row>
    <row r="760" spans="1:10" thickTop="1" thickBot="1" x14ac:dyDescent="0.6">
      <c r="A760" s="26">
        <v>39</v>
      </c>
      <c r="D760" s="25" t="s">
        <v>2160</v>
      </c>
    </row>
    <row r="761" spans="1:10" thickTop="1" thickBot="1" x14ac:dyDescent="0.6">
      <c r="A761" s="26">
        <v>40</v>
      </c>
      <c r="B761" s="43">
        <v>1151048</v>
      </c>
      <c r="C761" s="6" t="s">
        <v>1648</v>
      </c>
      <c r="D761" s="25" t="s">
        <v>2160</v>
      </c>
      <c r="E761" s="111" t="s">
        <v>2194</v>
      </c>
      <c r="F761" s="4">
        <v>320922</v>
      </c>
      <c r="G761" s="26">
        <v>1</v>
      </c>
      <c r="H761" s="7">
        <v>45600</v>
      </c>
      <c r="J761" s="4" t="s">
        <v>2195</v>
      </c>
    </row>
    <row r="762" spans="1:10" thickTop="1" thickBot="1" x14ac:dyDescent="0.6">
      <c r="A762" s="26">
        <v>41</v>
      </c>
      <c r="B762" s="43">
        <v>1151068</v>
      </c>
      <c r="C762" s="6" t="s">
        <v>2196</v>
      </c>
      <c r="D762" s="25" t="s">
        <v>2160</v>
      </c>
      <c r="E762" s="111">
        <v>778186743</v>
      </c>
      <c r="F762" s="4">
        <v>382021</v>
      </c>
      <c r="G762" s="26">
        <v>1</v>
      </c>
      <c r="H762" s="7">
        <v>45601</v>
      </c>
      <c r="J762" s="4">
        <v>200130910228</v>
      </c>
    </row>
    <row r="763" spans="1:10" thickTop="1" thickBot="1" x14ac:dyDescent="0.6">
      <c r="A763" s="26">
        <v>42</v>
      </c>
      <c r="D763" s="25" t="s">
        <v>2160</v>
      </c>
    </row>
    <row r="764" spans="1:10" thickTop="1" thickBot="1" x14ac:dyDescent="0.6">
      <c r="A764" s="26">
        <v>43</v>
      </c>
      <c r="D764" s="25" t="s">
        <v>2160</v>
      </c>
    </row>
    <row r="765" spans="1:10" thickTop="1" thickBot="1" x14ac:dyDescent="0.6">
      <c r="A765" s="26">
        <v>44</v>
      </c>
      <c r="B765" s="43">
        <v>1151167</v>
      </c>
      <c r="C765" s="6" t="s">
        <v>2198</v>
      </c>
      <c r="D765" s="25" t="s">
        <v>2160</v>
      </c>
      <c r="E765" s="111" t="s">
        <v>2199</v>
      </c>
      <c r="F765" s="4">
        <v>175490</v>
      </c>
      <c r="G765" s="26">
        <v>1</v>
      </c>
      <c r="H765" s="7">
        <v>45605</v>
      </c>
      <c r="J765" s="4" t="s">
        <v>2200</v>
      </c>
    </row>
    <row r="766" spans="1:10" thickTop="1" thickBot="1" x14ac:dyDescent="0.6">
      <c r="A766" s="26">
        <v>45</v>
      </c>
      <c r="D766" s="25" t="s">
        <v>2160</v>
      </c>
    </row>
    <row r="767" spans="1:10" thickTop="1" thickBot="1" x14ac:dyDescent="0.6">
      <c r="A767" s="26">
        <v>46</v>
      </c>
      <c r="B767" s="43">
        <v>1151458</v>
      </c>
      <c r="C767" s="6" t="s">
        <v>2913</v>
      </c>
      <c r="D767" s="25" t="s">
        <v>2160</v>
      </c>
      <c r="E767" s="111">
        <v>774212679</v>
      </c>
      <c r="F767" s="4">
        <v>394968</v>
      </c>
      <c r="G767" s="26">
        <v>1</v>
      </c>
      <c r="H767" s="7">
        <v>45747</v>
      </c>
      <c r="J767" s="4" t="s">
        <v>2914</v>
      </c>
    </row>
    <row r="768" spans="1:10" thickTop="1" thickBot="1" x14ac:dyDescent="0.6">
      <c r="A768" s="26">
        <v>47</v>
      </c>
      <c r="D768" s="25" t="s">
        <v>2160</v>
      </c>
      <c r="H768" s="7"/>
    </row>
    <row r="769" spans="1:10" thickTop="1" thickBot="1" x14ac:dyDescent="0.6">
      <c r="A769" s="26">
        <v>48</v>
      </c>
      <c r="D769" s="25" t="s">
        <v>2160</v>
      </c>
    </row>
    <row r="770" spans="1:10" thickTop="1" thickBot="1" x14ac:dyDescent="0.6">
      <c r="A770" s="26">
        <v>49</v>
      </c>
      <c r="D770" s="25" t="s">
        <v>2160</v>
      </c>
    </row>
    <row r="771" spans="1:10" thickTop="1" thickBot="1" x14ac:dyDescent="0.6">
      <c r="A771" s="26">
        <v>50</v>
      </c>
      <c r="B771" s="43">
        <v>1151354</v>
      </c>
      <c r="C771" s="6" t="s">
        <v>2841</v>
      </c>
      <c r="D771" s="25" t="s">
        <v>2160</v>
      </c>
      <c r="E771" s="111">
        <v>769254462</v>
      </c>
      <c r="F771" s="4">
        <v>659865</v>
      </c>
      <c r="G771" s="26">
        <v>1</v>
      </c>
      <c r="H771" s="7">
        <v>45716</v>
      </c>
    </row>
    <row r="772" spans="1:10" thickTop="1" thickBot="1" x14ac:dyDescent="0.6">
      <c r="A772" s="26">
        <v>51</v>
      </c>
      <c r="D772" s="25" t="s">
        <v>2160</v>
      </c>
    </row>
    <row r="773" spans="1:10" thickTop="1" thickBot="1" x14ac:dyDescent="0.6">
      <c r="A773" s="26">
        <v>52</v>
      </c>
      <c r="D773" s="25" t="s">
        <v>2160</v>
      </c>
    </row>
    <row r="774" spans="1:10" thickTop="1" thickBot="1" x14ac:dyDescent="0.6">
      <c r="A774" s="26">
        <v>53</v>
      </c>
      <c r="D774" s="25" t="s">
        <v>2160</v>
      </c>
    </row>
    <row r="775" spans="1:10" thickTop="1" thickBot="1" x14ac:dyDescent="0.6">
      <c r="A775" s="26">
        <v>54</v>
      </c>
      <c r="B775" s="43">
        <v>1150543</v>
      </c>
      <c r="C775" s="6" t="s">
        <v>2201</v>
      </c>
      <c r="D775" s="25" t="s">
        <v>2160</v>
      </c>
      <c r="E775" s="111">
        <v>776791109</v>
      </c>
      <c r="F775" s="4">
        <v>115983</v>
      </c>
      <c r="G775" s="26">
        <v>1</v>
      </c>
      <c r="I775" s="7">
        <v>45266</v>
      </c>
      <c r="J775" s="4" t="s">
        <v>2202</v>
      </c>
    </row>
    <row r="776" spans="1:10" thickTop="1" thickBot="1" x14ac:dyDescent="0.6">
      <c r="A776" s="26">
        <v>55</v>
      </c>
      <c r="B776" s="43">
        <v>1150482</v>
      </c>
      <c r="C776" s="6" t="s">
        <v>2203</v>
      </c>
      <c r="D776" s="25" t="s">
        <v>2160</v>
      </c>
      <c r="E776" s="111">
        <v>776077380</v>
      </c>
      <c r="F776" s="4" t="str">
        <f>"0"&amp;92406</f>
        <v>092406</v>
      </c>
      <c r="G776" s="26">
        <v>1</v>
      </c>
      <c r="I776" s="7">
        <v>45105</v>
      </c>
      <c r="J776" s="4" t="s">
        <v>2204</v>
      </c>
    </row>
    <row r="777" spans="1:10" thickTop="1" thickBot="1" x14ac:dyDescent="0.6">
      <c r="A777" s="26">
        <v>56</v>
      </c>
      <c r="D777" s="25" t="s">
        <v>2160</v>
      </c>
      <c r="I777" s="7">
        <v>45147</v>
      </c>
    </row>
    <row r="778" spans="1:10" thickTop="1" thickBot="1" x14ac:dyDescent="0.6">
      <c r="A778" s="26">
        <v>57</v>
      </c>
      <c r="D778" s="25" t="s">
        <v>2160</v>
      </c>
    </row>
    <row r="779" spans="1:10" thickTop="1" thickBot="1" x14ac:dyDescent="0.6">
      <c r="A779" s="26">
        <v>58</v>
      </c>
      <c r="B779" s="43">
        <v>1150640</v>
      </c>
      <c r="C779" s="6" t="s">
        <v>2205</v>
      </c>
      <c r="D779" s="25" t="s">
        <v>2160</v>
      </c>
      <c r="E779" s="111" t="s">
        <v>2206</v>
      </c>
      <c r="F779" s="4">
        <v>108871</v>
      </c>
      <c r="G779" s="26">
        <v>1</v>
      </c>
      <c r="H779" s="7">
        <v>45333</v>
      </c>
      <c r="J779" s="4">
        <v>200012403263</v>
      </c>
    </row>
    <row r="780" spans="1:10" thickTop="1" thickBot="1" x14ac:dyDescent="0.6">
      <c r="A780" s="26">
        <v>59</v>
      </c>
      <c r="B780" s="43">
        <v>1150144</v>
      </c>
      <c r="C780" s="6" t="s">
        <v>2207</v>
      </c>
      <c r="D780" s="25" t="s">
        <v>2160</v>
      </c>
      <c r="E780" s="111">
        <v>779021510</v>
      </c>
      <c r="F780" s="4">
        <v>505979</v>
      </c>
      <c r="G780" s="26">
        <v>1</v>
      </c>
    </row>
    <row r="781" spans="1:10" thickTop="1" thickBot="1" x14ac:dyDescent="0.6">
      <c r="A781" s="26">
        <v>60</v>
      </c>
      <c r="B781" s="43">
        <v>1151112</v>
      </c>
      <c r="C781" s="6" t="s">
        <v>2208</v>
      </c>
      <c r="D781" s="25" t="s">
        <v>2160</v>
      </c>
      <c r="E781" s="111" t="s">
        <v>2209</v>
      </c>
      <c r="F781" s="4">
        <v>365430</v>
      </c>
      <c r="G781" s="26">
        <v>1</v>
      </c>
      <c r="H781" s="7">
        <v>45604</v>
      </c>
      <c r="J781" s="4" t="s">
        <v>2210</v>
      </c>
    </row>
    <row r="782" spans="1:10" thickTop="1" thickBot="1" x14ac:dyDescent="0.6">
      <c r="A782" s="26">
        <v>61</v>
      </c>
      <c r="B782" s="43">
        <v>1151362</v>
      </c>
      <c r="C782" s="6" t="s">
        <v>242</v>
      </c>
      <c r="D782" s="25" t="s">
        <v>2160</v>
      </c>
      <c r="E782" s="111" t="s">
        <v>2691</v>
      </c>
      <c r="F782" s="4">
        <v>461791</v>
      </c>
      <c r="G782" s="26">
        <v>1</v>
      </c>
      <c r="H782" s="7">
        <v>45689</v>
      </c>
      <c r="J782" s="4">
        <v>200226302731</v>
      </c>
    </row>
    <row r="783" spans="1:10" thickTop="1" thickBot="1" x14ac:dyDescent="0.6">
      <c r="A783" s="26">
        <v>62</v>
      </c>
      <c r="D783" s="25" t="s">
        <v>2160</v>
      </c>
    </row>
    <row r="784" spans="1:10" thickTop="1" thickBot="1" x14ac:dyDescent="0.6">
      <c r="A784" s="26">
        <v>63</v>
      </c>
      <c r="B784" s="43">
        <v>1151293</v>
      </c>
      <c r="C784" s="6" t="s">
        <v>2211</v>
      </c>
      <c r="D784" s="25" t="s">
        <v>2160</v>
      </c>
      <c r="E784" s="111">
        <v>762415702</v>
      </c>
      <c r="F784" s="4">
        <v>322308</v>
      </c>
      <c r="G784" s="26">
        <v>1</v>
      </c>
      <c r="H784" s="7">
        <v>45612</v>
      </c>
      <c r="J784" s="4" t="s">
        <v>2212</v>
      </c>
    </row>
    <row r="785" spans="1:10" thickTop="1" thickBot="1" x14ac:dyDescent="0.6">
      <c r="A785" s="26">
        <v>64</v>
      </c>
      <c r="B785" s="43">
        <v>1151142</v>
      </c>
      <c r="C785" s="6" t="s">
        <v>2213</v>
      </c>
      <c r="D785" s="25" t="s">
        <v>2160</v>
      </c>
      <c r="F785" s="4">
        <v>362031</v>
      </c>
      <c r="G785" s="26">
        <v>1</v>
      </c>
      <c r="H785" s="7">
        <v>45605</v>
      </c>
      <c r="J785" s="4" t="s">
        <v>2214</v>
      </c>
    </row>
    <row r="786" spans="1:10" thickTop="1" thickBot="1" x14ac:dyDescent="0.6">
      <c r="A786" s="26">
        <v>65</v>
      </c>
      <c r="B786" s="43">
        <v>1150619</v>
      </c>
      <c r="C786" s="6" t="s">
        <v>2215</v>
      </c>
      <c r="D786" s="25" t="s">
        <v>2160</v>
      </c>
      <c r="E786" s="111">
        <v>779021510</v>
      </c>
      <c r="F786" s="4">
        <v>129653</v>
      </c>
      <c r="G786" s="26">
        <v>1</v>
      </c>
      <c r="H786" s="7">
        <v>45314</v>
      </c>
      <c r="J786" s="4">
        <v>200026103110</v>
      </c>
    </row>
    <row r="787" spans="1:10" thickTop="1" thickBot="1" x14ac:dyDescent="0.6">
      <c r="A787" s="26">
        <v>66</v>
      </c>
      <c r="B787" s="43">
        <v>1150750</v>
      </c>
      <c r="C787" s="6" t="s">
        <v>2216</v>
      </c>
      <c r="D787" s="25" t="s">
        <v>2160</v>
      </c>
      <c r="E787" s="111">
        <v>775864893</v>
      </c>
      <c r="F787" s="4">
        <v>125859</v>
      </c>
      <c r="G787" s="26">
        <v>1</v>
      </c>
      <c r="H787" s="7">
        <v>45497</v>
      </c>
      <c r="J787" s="4" t="s">
        <v>2217</v>
      </c>
    </row>
    <row r="788" spans="1:10" thickTop="1" thickBot="1" x14ac:dyDescent="0.6">
      <c r="A788" s="26">
        <v>67</v>
      </c>
      <c r="B788" s="43">
        <v>1150969</v>
      </c>
      <c r="C788" s="6" t="s">
        <v>2218</v>
      </c>
      <c r="D788" s="25" t="s">
        <v>2160</v>
      </c>
      <c r="E788" s="111">
        <v>758527373</v>
      </c>
      <c r="F788" s="4">
        <v>300197</v>
      </c>
      <c r="G788" s="26">
        <v>1</v>
      </c>
      <c r="H788" s="7">
        <v>45587</v>
      </c>
      <c r="J788" s="4" t="s">
        <v>2219</v>
      </c>
    </row>
    <row r="789" spans="1:10" thickTop="1" thickBot="1" x14ac:dyDescent="0.6">
      <c r="A789" s="26">
        <v>68</v>
      </c>
      <c r="B789" s="43">
        <v>1150970</v>
      </c>
      <c r="C789" s="6" t="s">
        <v>2220</v>
      </c>
      <c r="D789" s="25" t="s">
        <v>2160</v>
      </c>
      <c r="E789" s="111">
        <v>769415805</v>
      </c>
      <c r="F789" s="4">
        <v>164395</v>
      </c>
      <c r="G789" s="26">
        <v>1</v>
      </c>
      <c r="H789" s="7">
        <v>45587</v>
      </c>
      <c r="J789" s="4" t="s">
        <v>2221</v>
      </c>
    </row>
    <row r="790" spans="1:10" thickTop="1" thickBot="1" x14ac:dyDescent="0.6">
      <c r="A790" s="26">
        <v>69</v>
      </c>
      <c r="B790" s="43">
        <v>1151026</v>
      </c>
      <c r="C790" s="6" t="s">
        <v>2222</v>
      </c>
      <c r="D790" s="25" t="s">
        <v>2160</v>
      </c>
      <c r="E790" s="111">
        <v>770486057</v>
      </c>
      <c r="F790" s="4">
        <v>234925</v>
      </c>
      <c r="G790" s="26">
        <v>1</v>
      </c>
      <c r="H790" s="7">
        <v>45594</v>
      </c>
      <c r="J790" s="4" t="s">
        <v>2223</v>
      </c>
    </row>
    <row r="791" spans="1:10" thickTop="1" thickBot="1" x14ac:dyDescent="0.6">
      <c r="A791" s="26">
        <v>70</v>
      </c>
      <c r="B791" s="43">
        <v>1150334</v>
      </c>
      <c r="C791" s="6" t="s">
        <v>2224</v>
      </c>
      <c r="D791" s="25" t="s">
        <v>2160</v>
      </c>
      <c r="E791" s="111">
        <v>776447510</v>
      </c>
      <c r="F791" s="4">
        <v>217047</v>
      </c>
      <c r="G791" s="26">
        <v>1</v>
      </c>
      <c r="H791" s="7">
        <v>45589</v>
      </c>
    </row>
    <row r="792" spans="1:10" thickTop="1" thickBot="1" x14ac:dyDescent="0.6">
      <c r="A792" s="26">
        <v>71</v>
      </c>
      <c r="B792" s="43">
        <v>1151202</v>
      </c>
      <c r="C792" s="6" t="s">
        <v>3345</v>
      </c>
      <c r="D792" s="25" t="s">
        <v>2160</v>
      </c>
      <c r="E792" s="111">
        <v>715528647</v>
      </c>
      <c r="F792" s="4">
        <v>306954</v>
      </c>
      <c r="G792" s="26">
        <v>1</v>
      </c>
      <c r="H792" s="7">
        <v>45607</v>
      </c>
      <c r="J792" s="4" t="s">
        <v>2225</v>
      </c>
    </row>
    <row r="793" spans="1:10" thickTop="1" thickBot="1" x14ac:dyDescent="0.6">
      <c r="A793" s="26">
        <v>72</v>
      </c>
      <c r="B793" s="43">
        <v>1151243</v>
      </c>
      <c r="C793" s="6" t="s">
        <v>2226</v>
      </c>
      <c r="D793" s="25" t="s">
        <v>2160</v>
      </c>
      <c r="E793" s="111" t="s">
        <v>2227</v>
      </c>
      <c r="F793" s="4">
        <v>199987</v>
      </c>
      <c r="G793" s="26">
        <v>1</v>
      </c>
      <c r="H793" s="7">
        <v>45609</v>
      </c>
      <c r="J793" s="4" t="s">
        <v>2228</v>
      </c>
    </row>
    <row r="794" spans="1:10" thickTop="1" thickBot="1" x14ac:dyDescent="0.6">
      <c r="A794" s="26">
        <v>73</v>
      </c>
      <c r="B794" s="43">
        <v>1151253</v>
      </c>
      <c r="C794" s="6" t="s">
        <v>2044</v>
      </c>
      <c r="D794" s="25" t="s">
        <v>2160</v>
      </c>
      <c r="E794" s="111">
        <v>766422586</v>
      </c>
      <c r="F794" s="4">
        <v>362205</v>
      </c>
      <c r="G794" s="26">
        <v>1</v>
      </c>
      <c r="H794" s="7">
        <v>45609</v>
      </c>
      <c r="J794" s="4" t="s">
        <v>2229</v>
      </c>
    </row>
    <row r="795" spans="1:10" thickTop="1" thickBot="1" x14ac:dyDescent="0.6">
      <c r="A795" s="26">
        <v>74</v>
      </c>
      <c r="B795" s="43">
        <v>1151331</v>
      </c>
      <c r="C795" s="6" t="s">
        <v>2230</v>
      </c>
      <c r="D795" s="25" t="s">
        <v>2160</v>
      </c>
      <c r="E795" s="111">
        <v>778022413</v>
      </c>
      <c r="F795" s="4">
        <v>181621</v>
      </c>
      <c r="G795" s="26">
        <v>1</v>
      </c>
      <c r="H795" s="7">
        <v>45629</v>
      </c>
      <c r="J795" s="4" t="s">
        <v>2231</v>
      </c>
    </row>
    <row r="796" spans="1:10" thickTop="1" thickBot="1" x14ac:dyDescent="0.6">
      <c r="A796" s="26">
        <v>75</v>
      </c>
      <c r="B796" s="43">
        <v>1151375</v>
      </c>
      <c r="C796" s="6" t="s">
        <v>2714</v>
      </c>
      <c r="D796" s="25" t="s">
        <v>2160</v>
      </c>
      <c r="E796" s="111">
        <v>741989965</v>
      </c>
      <c r="F796" s="4">
        <v>652878</v>
      </c>
      <c r="G796" s="26">
        <v>1</v>
      </c>
      <c r="H796" s="7">
        <v>45697</v>
      </c>
      <c r="J796" s="4" t="s">
        <v>2715</v>
      </c>
    </row>
    <row r="797" spans="1:10" thickTop="1" thickBot="1" x14ac:dyDescent="0.6">
      <c r="A797" s="26">
        <v>76</v>
      </c>
      <c r="B797" s="43">
        <v>1150769</v>
      </c>
      <c r="C797" s="6" t="s">
        <v>2879</v>
      </c>
      <c r="D797" s="25" t="s">
        <v>2160</v>
      </c>
      <c r="E797" s="111">
        <v>741141727</v>
      </c>
      <c r="F797" s="4">
        <v>258536</v>
      </c>
      <c r="G797" s="26">
        <v>1</v>
      </c>
      <c r="H797" s="7">
        <v>45742</v>
      </c>
      <c r="J797" s="4" t="s">
        <v>2880</v>
      </c>
    </row>
    <row r="798" spans="1:10" thickTop="1" thickBot="1" x14ac:dyDescent="0.6">
      <c r="A798" s="26">
        <v>77</v>
      </c>
      <c r="B798" s="43">
        <v>1151491</v>
      </c>
      <c r="C798" s="6" t="s">
        <v>3008</v>
      </c>
      <c r="D798" s="25" t="s">
        <v>2160</v>
      </c>
      <c r="E798" s="111">
        <v>716067194</v>
      </c>
      <c r="F798" s="4">
        <v>579766</v>
      </c>
      <c r="G798" s="26">
        <v>1</v>
      </c>
      <c r="H798" s="7">
        <v>45769</v>
      </c>
      <c r="J798" s="4" t="s">
        <v>3009</v>
      </c>
    </row>
    <row r="799" spans="1:10" thickTop="1" thickBot="1" x14ac:dyDescent="0.6">
      <c r="A799" s="26">
        <v>1</v>
      </c>
      <c r="B799" s="43">
        <v>1150148</v>
      </c>
      <c r="C799" s="6" t="s">
        <v>2232</v>
      </c>
      <c r="D799" s="25" t="s">
        <v>2235</v>
      </c>
      <c r="E799" s="111" t="s">
        <v>2233</v>
      </c>
      <c r="F799" s="4">
        <v>337423</v>
      </c>
      <c r="G799" s="26">
        <v>1</v>
      </c>
      <c r="H799" s="7">
        <v>45579</v>
      </c>
      <c r="J799" s="47" t="s">
        <v>2234</v>
      </c>
    </row>
    <row r="800" spans="1:10" thickTop="1" thickBot="1" x14ac:dyDescent="0.6">
      <c r="A800" s="26">
        <v>2</v>
      </c>
      <c r="B800" s="43">
        <v>1150909</v>
      </c>
      <c r="C800" s="6" t="s">
        <v>2236</v>
      </c>
      <c r="D800" s="25" t="s">
        <v>2235</v>
      </c>
      <c r="E800" s="111">
        <v>755752128</v>
      </c>
      <c r="F800" s="4">
        <v>145733</v>
      </c>
      <c r="G800" s="26">
        <v>1</v>
      </c>
      <c r="H800" s="7">
        <v>45577</v>
      </c>
      <c r="J800" s="47" t="s">
        <v>2237</v>
      </c>
    </row>
    <row r="801" spans="1:10" thickTop="1" thickBot="1" x14ac:dyDescent="0.6">
      <c r="A801" s="26">
        <v>3</v>
      </c>
      <c r="D801" s="25" t="s">
        <v>2235</v>
      </c>
      <c r="J801" s="47"/>
    </row>
    <row r="802" spans="1:10" thickTop="1" thickBot="1" x14ac:dyDescent="0.6">
      <c r="A802" s="26">
        <v>4</v>
      </c>
      <c r="B802" s="43">
        <v>1150189</v>
      </c>
      <c r="C802" s="6" t="s">
        <v>2238</v>
      </c>
      <c r="D802" s="25" t="s">
        <v>2235</v>
      </c>
      <c r="E802" s="111" t="s">
        <v>2239</v>
      </c>
      <c r="F802" s="4">
        <v>620380</v>
      </c>
      <c r="G802" s="26">
        <v>1</v>
      </c>
      <c r="H802" s="7">
        <v>45529</v>
      </c>
      <c r="J802" s="5" t="s">
        <v>2240</v>
      </c>
    </row>
    <row r="803" spans="1:10" thickTop="1" thickBot="1" x14ac:dyDescent="0.6">
      <c r="A803" s="26">
        <v>5</v>
      </c>
      <c r="D803" s="25" t="s">
        <v>2235</v>
      </c>
      <c r="J803" s="47"/>
    </row>
    <row r="804" spans="1:10" thickTop="1" thickBot="1" x14ac:dyDescent="0.6">
      <c r="A804" s="26">
        <v>6</v>
      </c>
      <c r="B804" s="43">
        <v>1150191</v>
      </c>
      <c r="C804" s="6" t="s">
        <v>2241</v>
      </c>
      <c r="D804" s="25" t="s">
        <v>2235</v>
      </c>
      <c r="E804" s="111">
        <v>713921444</v>
      </c>
      <c r="F804" s="4">
        <v>251111</v>
      </c>
      <c r="G804" s="26">
        <v>1</v>
      </c>
      <c r="J804" s="5" t="s">
        <v>2242</v>
      </c>
    </row>
    <row r="805" spans="1:10" thickTop="1" thickBot="1" x14ac:dyDescent="0.6">
      <c r="A805" s="26">
        <v>7</v>
      </c>
      <c r="B805" s="43">
        <v>1151379</v>
      </c>
      <c r="C805" s="6" t="s">
        <v>2717</v>
      </c>
      <c r="D805" s="25" t="s">
        <v>2235</v>
      </c>
      <c r="E805" s="111">
        <v>766547510</v>
      </c>
      <c r="F805" s="4">
        <v>654346</v>
      </c>
      <c r="G805" s="26">
        <v>1</v>
      </c>
      <c r="H805" s="7">
        <v>45700</v>
      </c>
      <c r="J805" s="47" t="s">
        <v>2718</v>
      </c>
    </row>
    <row r="806" spans="1:10" thickTop="1" thickBot="1" x14ac:dyDescent="0.6">
      <c r="A806" s="26">
        <v>8</v>
      </c>
      <c r="B806" s="43">
        <v>1150188</v>
      </c>
      <c r="C806" s="6" t="s">
        <v>2243</v>
      </c>
      <c r="D806" s="25" t="s">
        <v>2235</v>
      </c>
      <c r="E806" s="111">
        <v>776621524</v>
      </c>
      <c r="F806" s="4">
        <v>732771</v>
      </c>
      <c r="G806" s="26">
        <v>1</v>
      </c>
      <c r="J806" s="5" t="s">
        <v>2244</v>
      </c>
    </row>
    <row r="807" spans="1:10" thickTop="1" thickBot="1" x14ac:dyDescent="0.6">
      <c r="A807" s="26">
        <v>9</v>
      </c>
      <c r="B807" s="43">
        <v>1150604</v>
      </c>
      <c r="C807" s="6" t="s">
        <v>2245</v>
      </c>
      <c r="D807" s="25" t="s">
        <v>2235</v>
      </c>
      <c r="E807" s="111">
        <v>772364388</v>
      </c>
      <c r="F807" s="4" t="str">
        <f>"0"&amp;58514</f>
        <v>058514</v>
      </c>
      <c r="G807" s="26">
        <v>1</v>
      </c>
      <c r="J807" s="47" t="s">
        <v>2246</v>
      </c>
    </row>
    <row r="808" spans="1:10" thickTop="1" thickBot="1" x14ac:dyDescent="0.6">
      <c r="A808" s="26">
        <v>10</v>
      </c>
      <c r="B808" s="43">
        <v>1150180</v>
      </c>
      <c r="C808" s="6" t="s">
        <v>2247</v>
      </c>
      <c r="D808" s="25" t="s">
        <v>2235</v>
      </c>
      <c r="E808" s="111">
        <v>771469277</v>
      </c>
      <c r="F808" s="4">
        <v>291489</v>
      </c>
      <c r="G808" s="26">
        <v>1</v>
      </c>
      <c r="J808" s="5" t="s">
        <v>2248</v>
      </c>
    </row>
    <row r="809" spans="1:10" thickTop="1" thickBot="1" x14ac:dyDescent="0.6">
      <c r="A809" s="26">
        <v>11</v>
      </c>
      <c r="B809" s="43">
        <v>1150190</v>
      </c>
      <c r="C809" s="6" t="s">
        <v>2249</v>
      </c>
      <c r="D809" s="25" t="s">
        <v>2235</v>
      </c>
      <c r="E809" s="111">
        <v>772364388</v>
      </c>
      <c r="F809" s="4">
        <v>700455</v>
      </c>
      <c r="G809" s="26">
        <v>1</v>
      </c>
      <c r="J809" s="5" t="s">
        <v>2250</v>
      </c>
    </row>
    <row r="810" spans="1:10" thickTop="1" thickBot="1" x14ac:dyDescent="0.6">
      <c r="A810" s="26">
        <v>12</v>
      </c>
      <c r="B810" s="43">
        <v>1150182</v>
      </c>
      <c r="C810" s="6" t="s">
        <v>2251</v>
      </c>
      <c r="D810" s="25" t="s">
        <v>2235</v>
      </c>
      <c r="E810" s="111">
        <v>778651501</v>
      </c>
      <c r="F810" s="4">
        <v>619168</v>
      </c>
      <c r="G810" s="26">
        <v>1</v>
      </c>
      <c r="J810" s="5" t="s">
        <v>2252</v>
      </c>
    </row>
    <row r="811" spans="1:10" thickTop="1" thickBot="1" x14ac:dyDescent="0.6">
      <c r="A811" s="26">
        <v>13</v>
      </c>
      <c r="B811" s="43">
        <v>1150603</v>
      </c>
      <c r="C811" s="6" t="s">
        <v>2253</v>
      </c>
      <c r="D811" s="25" t="s">
        <v>2235</v>
      </c>
      <c r="E811" s="111">
        <v>772156997</v>
      </c>
      <c r="F811" s="4" t="str">
        <f>"0"&amp;73026</f>
        <v>073026</v>
      </c>
      <c r="G811" s="26">
        <v>1</v>
      </c>
      <c r="J811" s="47" t="s">
        <v>2254</v>
      </c>
    </row>
    <row r="812" spans="1:10" thickTop="1" thickBot="1" x14ac:dyDescent="0.6">
      <c r="A812" s="26">
        <v>14</v>
      </c>
      <c r="D812" s="25" t="s">
        <v>2235</v>
      </c>
      <c r="H812" s="7"/>
      <c r="J812" s="47"/>
    </row>
    <row r="813" spans="1:10" thickTop="1" thickBot="1" x14ac:dyDescent="0.6">
      <c r="A813" s="26">
        <v>15</v>
      </c>
      <c r="B813" s="43">
        <v>1150024</v>
      </c>
      <c r="C813" s="6" t="s">
        <v>2255</v>
      </c>
      <c r="D813" s="25" t="s">
        <v>2235</v>
      </c>
      <c r="E813" s="111">
        <v>772186494</v>
      </c>
      <c r="F813" s="4">
        <v>743455</v>
      </c>
      <c r="G813" s="26">
        <v>1</v>
      </c>
      <c r="H813" s="7">
        <v>45579</v>
      </c>
      <c r="J813" s="47" t="s">
        <v>2256</v>
      </c>
    </row>
    <row r="814" spans="1:10" thickTop="1" thickBot="1" x14ac:dyDescent="0.6">
      <c r="A814" s="26">
        <v>16</v>
      </c>
      <c r="B814" s="43">
        <v>1150257</v>
      </c>
      <c r="C814" s="6" t="s">
        <v>3261</v>
      </c>
      <c r="D814" s="25" t="s">
        <v>2235</v>
      </c>
      <c r="E814" s="111" t="s">
        <v>3262</v>
      </c>
      <c r="F814" s="4">
        <v>658917</v>
      </c>
      <c r="G814" s="26">
        <v>1</v>
      </c>
      <c r="H814" s="7">
        <v>45827</v>
      </c>
      <c r="I814" s="7">
        <v>44425</v>
      </c>
      <c r="J814" s="5" t="s">
        <v>2257</v>
      </c>
    </row>
    <row r="815" spans="1:10" thickTop="1" thickBot="1" x14ac:dyDescent="0.6">
      <c r="A815" s="26">
        <v>17</v>
      </c>
      <c r="B815" s="43">
        <v>1151548</v>
      </c>
      <c r="C815" s="6" t="s">
        <v>3281</v>
      </c>
      <c r="D815" s="25" t="s">
        <v>2235</v>
      </c>
      <c r="E815" s="111">
        <v>775245219</v>
      </c>
      <c r="F815" s="4">
        <v>661515</v>
      </c>
      <c r="G815" s="26">
        <v>1</v>
      </c>
      <c r="H815" s="7">
        <v>45841</v>
      </c>
      <c r="J815" s="47" t="s">
        <v>3282</v>
      </c>
    </row>
    <row r="816" spans="1:10" thickTop="1" thickBot="1" x14ac:dyDescent="0.6">
      <c r="A816" s="26">
        <v>18</v>
      </c>
      <c r="B816" s="43">
        <v>1150768</v>
      </c>
      <c r="C816" s="6" t="s">
        <v>2258</v>
      </c>
      <c r="D816" s="25" t="s">
        <v>2235</v>
      </c>
      <c r="E816" s="111" t="s">
        <v>2259</v>
      </c>
      <c r="F816" s="4">
        <v>115686</v>
      </c>
      <c r="G816" s="26">
        <v>1</v>
      </c>
      <c r="H816" s="7">
        <v>45519</v>
      </c>
      <c r="J816" s="47" t="s">
        <v>2260</v>
      </c>
    </row>
    <row r="817" spans="1:10" thickTop="1" thickBot="1" x14ac:dyDescent="0.6">
      <c r="A817" s="26">
        <v>19</v>
      </c>
      <c r="B817" s="43">
        <v>1150771</v>
      </c>
      <c r="C817" s="6" t="s">
        <v>2261</v>
      </c>
      <c r="D817" s="25" t="s">
        <v>2235</v>
      </c>
      <c r="E817" s="111" t="s">
        <v>2262</v>
      </c>
      <c r="F817" s="4" t="str">
        <f>"0"&amp;88818</f>
        <v>088818</v>
      </c>
      <c r="G817" s="26">
        <v>1</v>
      </c>
      <c r="H817" s="7">
        <v>45519</v>
      </c>
      <c r="J817" s="47" t="s">
        <v>2263</v>
      </c>
    </row>
    <row r="818" spans="1:10" thickTop="1" thickBot="1" x14ac:dyDescent="0.6">
      <c r="A818" s="26">
        <v>20</v>
      </c>
      <c r="B818" s="43">
        <v>1150864</v>
      </c>
      <c r="C818" s="6" t="s">
        <v>3027</v>
      </c>
      <c r="D818" s="25" t="s">
        <v>2235</v>
      </c>
      <c r="E818" s="111">
        <v>774900573</v>
      </c>
      <c r="F818" s="4">
        <v>239353</v>
      </c>
      <c r="G818" s="26">
        <v>1</v>
      </c>
      <c r="H818" s="7">
        <v>45569</v>
      </c>
      <c r="J818" s="47"/>
    </row>
    <row r="819" spans="1:10" thickTop="1" thickBot="1" x14ac:dyDescent="0.6">
      <c r="A819" s="26">
        <v>21</v>
      </c>
      <c r="B819" s="43">
        <v>1150488</v>
      </c>
      <c r="C819" s="6" t="s">
        <v>2264</v>
      </c>
      <c r="D819" s="25" t="s">
        <v>2235</v>
      </c>
      <c r="E819" s="111" t="s">
        <v>2265</v>
      </c>
      <c r="F819" s="4" t="str">
        <f>"0"&amp;77134</f>
        <v>077134</v>
      </c>
      <c r="G819" s="26">
        <v>1</v>
      </c>
      <c r="I819" s="7">
        <v>45119</v>
      </c>
      <c r="J819" s="47" t="s">
        <v>2266</v>
      </c>
    </row>
    <row r="820" spans="1:10" thickTop="1" thickBot="1" x14ac:dyDescent="0.6">
      <c r="A820" s="26">
        <v>22</v>
      </c>
      <c r="B820" s="43">
        <v>1150420</v>
      </c>
      <c r="C820" s="6" t="s">
        <v>2267</v>
      </c>
      <c r="D820" s="25" t="s">
        <v>2235</v>
      </c>
      <c r="E820" s="111">
        <v>767000075</v>
      </c>
      <c r="F820" s="4">
        <v>141559</v>
      </c>
      <c r="G820" s="26">
        <v>1</v>
      </c>
      <c r="H820" s="7">
        <v>44959</v>
      </c>
      <c r="J820" s="5" t="s">
        <v>2268</v>
      </c>
    </row>
    <row r="821" spans="1:10" thickTop="1" thickBot="1" x14ac:dyDescent="0.6">
      <c r="A821" s="26">
        <v>23</v>
      </c>
      <c r="B821" s="43">
        <v>1150389</v>
      </c>
      <c r="C821" s="6" t="s">
        <v>2269</v>
      </c>
      <c r="D821" s="25" t="s">
        <v>2235</v>
      </c>
      <c r="E821" s="111" t="s">
        <v>2270</v>
      </c>
      <c r="F821" s="4">
        <v>728200</v>
      </c>
      <c r="G821" s="26">
        <v>1</v>
      </c>
      <c r="J821" s="5" t="s">
        <v>2271</v>
      </c>
    </row>
    <row r="822" spans="1:10" thickTop="1" thickBot="1" x14ac:dyDescent="0.6">
      <c r="A822" s="26">
        <v>24</v>
      </c>
      <c r="B822" s="43">
        <v>1150911</v>
      </c>
      <c r="C822" s="6" t="s">
        <v>2272</v>
      </c>
      <c r="D822" s="25" t="s">
        <v>2235</v>
      </c>
      <c r="E822" s="111">
        <v>774394457</v>
      </c>
      <c r="F822" s="4">
        <v>152226</v>
      </c>
      <c r="G822" s="26">
        <v>1</v>
      </c>
      <c r="H822" s="7">
        <v>45577</v>
      </c>
      <c r="J822" s="47" t="s">
        <v>2273</v>
      </c>
    </row>
    <row r="823" spans="1:10" thickTop="1" thickBot="1" x14ac:dyDescent="0.6">
      <c r="A823" s="26">
        <v>25</v>
      </c>
      <c r="B823" s="43">
        <v>1150539</v>
      </c>
      <c r="C823" s="6" t="s">
        <v>2274</v>
      </c>
      <c r="D823" s="25" t="s">
        <v>2235</v>
      </c>
      <c r="E823" s="111" t="s">
        <v>2275</v>
      </c>
      <c r="F823" s="4">
        <v>108673</v>
      </c>
      <c r="G823" s="26">
        <v>1</v>
      </c>
      <c r="H823" s="7">
        <v>45505</v>
      </c>
      <c r="J823" s="47" t="s">
        <v>2276</v>
      </c>
    </row>
    <row r="824" spans="1:10" thickTop="1" thickBot="1" x14ac:dyDescent="0.6">
      <c r="A824" s="26">
        <v>26</v>
      </c>
      <c r="B824" s="43">
        <v>1150912</v>
      </c>
      <c r="C824" s="6" t="s">
        <v>2238</v>
      </c>
      <c r="D824" s="25" t="s">
        <v>2235</v>
      </c>
      <c r="E824" s="111">
        <v>723755822</v>
      </c>
      <c r="F824" s="4">
        <v>113020</v>
      </c>
      <c r="G824" s="26">
        <v>1</v>
      </c>
      <c r="H824" s="7">
        <v>45577</v>
      </c>
      <c r="J824" s="47" t="s">
        <v>2277</v>
      </c>
    </row>
    <row r="825" spans="1:10" thickTop="1" thickBot="1" x14ac:dyDescent="0.6">
      <c r="A825" s="26">
        <v>27</v>
      </c>
      <c r="B825" s="43">
        <v>1151025</v>
      </c>
      <c r="C825" s="6" t="s">
        <v>2278</v>
      </c>
      <c r="D825" s="25" t="s">
        <v>2235</v>
      </c>
      <c r="E825" s="111" t="s">
        <v>2279</v>
      </c>
      <c r="F825" s="4">
        <v>87166</v>
      </c>
      <c r="G825" s="26">
        <v>1</v>
      </c>
      <c r="H825" s="7">
        <v>45594</v>
      </c>
      <c r="J825" s="47" t="s">
        <v>2280</v>
      </c>
    </row>
    <row r="826" spans="1:10" thickTop="1" thickBot="1" x14ac:dyDescent="0.6">
      <c r="A826" s="26">
        <v>28</v>
      </c>
      <c r="B826" s="43">
        <v>1151597</v>
      </c>
      <c r="C826" s="6" t="s">
        <v>3253</v>
      </c>
      <c r="D826" s="25" t="s">
        <v>2235</v>
      </c>
      <c r="E826" s="111">
        <v>773922982</v>
      </c>
      <c r="F826" s="4">
        <v>742877</v>
      </c>
      <c r="G826" s="26">
        <v>1</v>
      </c>
      <c r="H826" s="7">
        <v>45947</v>
      </c>
      <c r="J826" s="47" t="s">
        <v>3406</v>
      </c>
    </row>
    <row r="827" spans="1:10" thickTop="1" thickBot="1" x14ac:dyDescent="0.6">
      <c r="A827" s="26">
        <v>29</v>
      </c>
      <c r="B827" s="43">
        <v>1150186</v>
      </c>
      <c r="C827" s="6" t="s">
        <v>2159</v>
      </c>
      <c r="D827" s="25" t="s">
        <v>2235</v>
      </c>
      <c r="E827" s="111">
        <v>517900017</v>
      </c>
      <c r="F827" s="4">
        <v>237367</v>
      </c>
      <c r="G827" s="26">
        <v>1</v>
      </c>
      <c r="J827" s="5" t="s">
        <v>2281</v>
      </c>
    </row>
    <row r="828" spans="1:10" thickTop="1" thickBot="1" x14ac:dyDescent="0.6">
      <c r="A828" s="26">
        <v>30</v>
      </c>
      <c r="B828" s="43">
        <v>1150913</v>
      </c>
      <c r="C828" s="6" t="s">
        <v>2282</v>
      </c>
      <c r="D828" s="25" t="s">
        <v>2235</v>
      </c>
      <c r="E828" s="111" t="s">
        <v>2283</v>
      </c>
      <c r="F828" s="4" t="str">
        <f>"0"&amp;44175</f>
        <v>044175</v>
      </c>
      <c r="G828" s="26">
        <v>1</v>
      </c>
      <c r="H828" s="7">
        <v>45577</v>
      </c>
      <c r="J828" s="47" t="s">
        <v>2284</v>
      </c>
    </row>
    <row r="829" spans="1:10" thickTop="1" thickBot="1" x14ac:dyDescent="0.6">
      <c r="A829" s="26">
        <v>31</v>
      </c>
      <c r="B829" s="43">
        <v>1150185</v>
      </c>
      <c r="C829" s="6" t="s">
        <v>2285</v>
      </c>
      <c r="D829" s="25" t="s">
        <v>2235</v>
      </c>
      <c r="E829" s="111" t="s">
        <v>2286</v>
      </c>
      <c r="F829" s="4">
        <v>497839</v>
      </c>
      <c r="G829" s="26">
        <v>1</v>
      </c>
      <c r="J829" s="5" t="s">
        <v>2287</v>
      </c>
    </row>
    <row r="830" spans="1:10" thickTop="1" thickBot="1" x14ac:dyDescent="0.6">
      <c r="A830" s="26">
        <v>32</v>
      </c>
      <c r="B830" s="43">
        <v>1151015</v>
      </c>
      <c r="C830" s="6" t="s">
        <v>2288</v>
      </c>
      <c r="D830" s="25" t="s">
        <v>2235</v>
      </c>
      <c r="F830" s="4">
        <v>216344</v>
      </c>
      <c r="G830" s="26">
        <v>1</v>
      </c>
      <c r="H830" s="7">
        <v>45593</v>
      </c>
      <c r="J830" s="47" t="s">
        <v>2289</v>
      </c>
    </row>
    <row r="831" spans="1:10" thickTop="1" thickBot="1" x14ac:dyDescent="0.6">
      <c r="A831" s="26">
        <v>33</v>
      </c>
      <c r="D831" s="25" t="s">
        <v>2235</v>
      </c>
      <c r="J831" s="47"/>
    </row>
    <row r="832" spans="1:10" thickTop="1" thickBot="1" x14ac:dyDescent="0.6">
      <c r="A832" s="26">
        <v>34</v>
      </c>
      <c r="B832" s="43">
        <v>1151105</v>
      </c>
      <c r="C832" s="6" t="s">
        <v>2800</v>
      </c>
      <c r="D832" s="25" t="s">
        <v>2235</v>
      </c>
      <c r="E832" s="111">
        <v>758127221</v>
      </c>
      <c r="F832" s="4">
        <v>167331</v>
      </c>
      <c r="G832" s="26">
        <v>1</v>
      </c>
      <c r="H832" s="7">
        <v>45604</v>
      </c>
      <c r="J832" s="47" t="s">
        <v>2290</v>
      </c>
    </row>
    <row r="833" spans="1:10" thickTop="1" thickBot="1" x14ac:dyDescent="0.6">
      <c r="A833" s="26">
        <v>36</v>
      </c>
      <c r="B833" s="43">
        <v>1151084</v>
      </c>
      <c r="C833" s="6" t="s">
        <v>2291</v>
      </c>
      <c r="D833" s="25" t="s">
        <v>2235</v>
      </c>
      <c r="E833" s="111">
        <v>77800265</v>
      </c>
      <c r="F833" s="4">
        <v>566070</v>
      </c>
      <c r="G833" s="26">
        <v>1</v>
      </c>
      <c r="J833" s="5">
        <v>197616404199</v>
      </c>
    </row>
    <row r="834" spans="1:10" thickTop="1" thickBot="1" x14ac:dyDescent="0.6">
      <c r="A834" s="26">
        <v>37</v>
      </c>
      <c r="B834" s="43">
        <v>1150605</v>
      </c>
      <c r="C834" s="6" t="s">
        <v>2292</v>
      </c>
      <c r="D834" s="25" t="s">
        <v>2235</v>
      </c>
      <c r="E834" s="111">
        <v>517911557</v>
      </c>
      <c r="F834" s="4" t="str">
        <f>"0"&amp;13451</f>
        <v>013451</v>
      </c>
      <c r="G834" s="26">
        <v>1</v>
      </c>
      <c r="J834" s="47" t="s">
        <v>2293</v>
      </c>
    </row>
    <row r="835" spans="1:10" thickTop="1" thickBot="1" x14ac:dyDescent="0.6">
      <c r="A835" s="26">
        <v>38</v>
      </c>
      <c r="D835" s="25" t="s">
        <v>2235</v>
      </c>
      <c r="J835" s="47"/>
    </row>
    <row r="836" spans="1:10" thickTop="1" thickBot="1" x14ac:dyDescent="0.6">
      <c r="A836" s="26">
        <v>39</v>
      </c>
      <c r="B836" s="43">
        <v>1151313</v>
      </c>
      <c r="C836" s="6" t="s">
        <v>2294</v>
      </c>
      <c r="D836" s="25" t="s">
        <v>2235</v>
      </c>
      <c r="E836" s="111">
        <v>761300007</v>
      </c>
      <c r="F836" s="4">
        <v>189202</v>
      </c>
      <c r="G836" s="26">
        <v>1</v>
      </c>
      <c r="H836" s="7">
        <v>45620</v>
      </c>
      <c r="J836" s="47" t="s">
        <v>2295</v>
      </c>
    </row>
    <row r="837" spans="1:10" thickTop="1" thickBot="1" x14ac:dyDescent="0.6">
      <c r="A837" s="26">
        <v>40</v>
      </c>
      <c r="B837" s="43">
        <v>1151429</v>
      </c>
      <c r="C837" s="6" t="s">
        <v>2825</v>
      </c>
      <c r="D837" s="25" t="s">
        <v>2235</v>
      </c>
      <c r="E837" s="111">
        <v>742188989</v>
      </c>
      <c r="F837" s="4">
        <v>576820</v>
      </c>
      <c r="G837" s="26">
        <v>1</v>
      </c>
      <c r="H837" s="7">
        <v>45730</v>
      </c>
      <c r="J837" s="47" t="s">
        <v>2826</v>
      </c>
    </row>
    <row r="838" spans="1:10" thickTop="1" thickBot="1" x14ac:dyDescent="0.6">
      <c r="A838" s="26">
        <v>41</v>
      </c>
      <c r="B838" s="43">
        <v>1150489</v>
      </c>
      <c r="C838" s="6" t="s">
        <v>2296</v>
      </c>
      <c r="D838" s="25" t="s">
        <v>2235</v>
      </c>
      <c r="E838" s="111">
        <v>762242180</v>
      </c>
      <c r="F838" s="4" t="str">
        <f>"0"&amp;71764</f>
        <v>071764</v>
      </c>
      <c r="G838" s="26">
        <v>1</v>
      </c>
      <c r="I838" s="7">
        <v>45119</v>
      </c>
      <c r="J838" s="47" t="s">
        <v>2297</v>
      </c>
    </row>
    <row r="839" spans="1:10" thickTop="1" thickBot="1" x14ac:dyDescent="0.6">
      <c r="A839" s="26">
        <v>42</v>
      </c>
      <c r="B839" s="43">
        <v>1151596</v>
      </c>
      <c r="C839" s="6" t="s">
        <v>3404</v>
      </c>
      <c r="D839" s="25" t="s">
        <v>2235</v>
      </c>
      <c r="E839" s="111">
        <v>774080778</v>
      </c>
      <c r="F839" s="4">
        <v>736283</v>
      </c>
      <c r="G839" s="26">
        <v>1</v>
      </c>
      <c r="H839" s="7">
        <v>45947</v>
      </c>
      <c r="J839" s="47" t="s">
        <v>3405</v>
      </c>
    </row>
    <row r="840" spans="1:10" thickTop="1" thickBot="1" x14ac:dyDescent="0.6">
      <c r="A840" s="26">
        <v>43</v>
      </c>
      <c r="D840" s="25" t="s">
        <v>2235</v>
      </c>
      <c r="J840" s="47"/>
    </row>
    <row r="841" spans="1:10" thickTop="1" thickBot="1" x14ac:dyDescent="0.6">
      <c r="A841" s="26">
        <v>44</v>
      </c>
      <c r="B841" s="43">
        <v>1150187</v>
      </c>
      <c r="C841" s="6" t="s">
        <v>2298</v>
      </c>
      <c r="D841" s="25" t="s">
        <v>2235</v>
      </c>
      <c r="E841" s="111">
        <v>774402996</v>
      </c>
      <c r="F841" s="4">
        <v>608716</v>
      </c>
      <c r="G841" s="26">
        <v>1</v>
      </c>
      <c r="J841" s="5" t="s">
        <v>2299</v>
      </c>
    </row>
    <row r="842" spans="1:10" thickTop="1" thickBot="1" x14ac:dyDescent="0.6">
      <c r="A842" s="26">
        <v>45</v>
      </c>
      <c r="B842" s="43">
        <v>1150982</v>
      </c>
      <c r="C842" s="6" t="s">
        <v>2300</v>
      </c>
      <c r="D842" s="25" t="s">
        <v>2235</v>
      </c>
      <c r="E842" s="111">
        <v>774437731</v>
      </c>
      <c r="F842" s="4">
        <v>124191</v>
      </c>
      <c r="G842" s="26">
        <v>1</v>
      </c>
      <c r="H842" s="7">
        <v>45590</v>
      </c>
      <c r="J842" s="47" t="s">
        <v>2301</v>
      </c>
    </row>
    <row r="843" spans="1:10" thickTop="1" thickBot="1" x14ac:dyDescent="0.6">
      <c r="A843" s="26">
        <v>46</v>
      </c>
      <c r="B843" s="43">
        <v>1151174</v>
      </c>
      <c r="C843" s="6" t="s">
        <v>2302</v>
      </c>
      <c r="D843" s="25" t="s">
        <v>2235</v>
      </c>
      <c r="E843" s="111">
        <v>76403044</v>
      </c>
      <c r="F843" s="4">
        <v>250384</v>
      </c>
      <c r="G843" s="26">
        <v>1</v>
      </c>
      <c r="H843" s="7">
        <v>45606</v>
      </c>
      <c r="J843" s="47"/>
    </row>
    <row r="844" spans="1:10" thickTop="1" thickBot="1" x14ac:dyDescent="0.6">
      <c r="A844" s="26">
        <v>47</v>
      </c>
      <c r="B844" s="43">
        <v>1151183</v>
      </c>
      <c r="C844" s="6" t="s">
        <v>2303</v>
      </c>
      <c r="D844" s="25" t="s">
        <v>2235</v>
      </c>
      <c r="E844" s="111">
        <v>772313523</v>
      </c>
      <c r="F844" s="4">
        <v>255391</v>
      </c>
      <c r="G844" s="26">
        <v>1</v>
      </c>
      <c r="H844" s="7">
        <v>45606</v>
      </c>
      <c r="J844" s="47" t="s">
        <v>2304</v>
      </c>
    </row>
    <row r="845" spans="1:10" ht="14.4" customHeight="1" thickTop="1" thickBot="1" x14ac:dyDescent="0.6">
      <c r="A845" s="26">
        <v>48</v>
      </c>
      <c r="B845" s="43">
        <v>1150476</v>
      </c>
      <c r="C845" s="6" t="s">
        <v>2305</v>
      </c>
      <c r="D845" s="25" t="s">
        <v>2235</v>
      </c>
      <c r="E845" s="111" t="s">
        <v>2306</v>
      </c>
      <c r="F845" s="4" t="str">
        <f>"0"&amp;24979</f>
        <v>024979</v>
      </c>
      <c r="G845" s="26">
        <v>1</v>
      </c>
      <c r="H845" s="7">
        <v>45095</v>
      </c>
      <c r="I845" s="7">
        <v>45095</v>
      </c>
      <c r="J845" s="47"/>
    </row>
    <row r="846" spans="1:10" ht="14.4" customHeight="1" thickTop="1" thickBot="1" x14ac:dyDescent="0.6">
      <c r="A846" s="26">
        <v>49</v>
      </c>
      <c r="B846" s="43">
        <v>1151175</v>
      </c>
      <c r="C846" s="6" t="s">
        <v>2307</v>
      </c>
      <c r="D846" s="25" t="s">
        <v>2235</v>
      </c>
      <c r="E846" s="111">
        <v>761193507</v>
      </c>
      <c r="F846" s="4">
        <v>265457</v>
      </c>
      <c r="G846" s="26">
        <v>1</v>
      </c>
      <c r="H846" s="7">
        <v>45606</v>
      </c>
      <c r="J846" s="47" t="s">
        <v>2308</v>
      </c>
    </row>
    <row r="847" spans="1:10" ht="14.4" customHeight="1" thickTop="1" thickBot="1" x14ac:dyDescent="0.6">
      <c r="A847" s="26">
        <v>50</v>
      </c>
      <c r="B847" s="43">
        <v>1150927</v>
      </c>
      <c r="C847" s="6" t="s">
        <v>2309</v>
      </c>
      <c r="D847" s="25" t="s">
        <v>2235</v>
      </c>
      <c r="E847" s="111">
        <v>777529217</v>
      </c>
      <c r="F847" s="4">
        <v>293780</v>
      </c>
      <c r="G847" s="26">
        <v>1</v>
      </c>
      <c r="H847" s="7">
        <v>45579</v>
      </c>
      <c r="J847" s="47"/>
    </row>
    <row r="848" spans="1:10" ht="14.4" customHeight="1" thickTop="1" thickBot="1" x14ac:dyDescent="0.6">
      <c r="A848" s="26">
        <v>51</v>
      </c>
      <c r="B848" s="43">
        <v>1150443</v>
      </c>
      <c r="C848" s="6" t="s">
        <v>2310</v>
      </c>
      <c r="D848" s="25" t="s">
        <v>2235</v>
      </c>
      <c r="E848" s="111">
        <v>767710942</v>
      </c>
      <c r="F848" s="4">
        <v>139942</v>
      </c>
      <c r="G848" s="26">
        <v>1</v>
      </c>
      <c r="H848" s="7">
        <v>45006</v>
      </c>
      <c r="I848" s="7">
        <v>45006</v>
      </c>
      <c r="J848" s="5"/>
    </row>
    <row r="849" spans="1:10" ht="14.4" customHeight="1" thickTop="1" thickBot="1" x14ac:dyDescent="0.6">
      <c r="A849" s="26">
        <v>52</v>
      </c>
      <c r="D849" s="25" t="s">
        <v>2235</v>
      </c>
      <c r="J849" s="47"/>
    </row>
    <row r="850" spans="1:10" ht="14.4" customHeight="1" thickTop="1" thickBot="1" x14ac:dyDescent="0.6">
      <c r="A850" s="26">
        <v>53</v>
      </c>
      <c r="D850" s="25" t="s">
        <v>2235</v>
      </c>
      <c r="J850" s="47"/>
    </row>
    <row r="851" spans="1:10" ht="14.4" customHeight="1" thickTop="1" thickBot="1" x14ac:dyDescent="0.6">
      <c r="A851" s="26">
        <v>54</v>
      </c>
      <c r="D851" s="25" t="s">
        <v>2235</v>
      </c>
      <c r="J851" s="47"/>
    </row>
    <row r="852" spans="1:10" ht="14.4" customHeight="1" thickTop="1" thickBot="1" x14ac:dyDescent="0.6">
      <c r="A852" s="26">
        <v>55</v>
      </c>
      <c r="B852" s="43">
        <v>1150493</v>
      </c>
      <c r="C852" s="6" t="s">
        <v>2311</v>
      </c>
      <c r="D852" s="25" t="s">
        <v>2235</v>
      </c>
      <c r="E852" s="111">
        <v>773751074</v>
      </c>
      <c r="F852" s="4" t="str">
        <f>"0"&amp;89097</f>
        <v>089097</v>
      </c>
      <c r="G852" s="26">
        <v>1</v>
      </c>
      <c r="I852" s="7">
        <v>45127</v>
      </c>
      <c r="J852" s="47" t="s">
        <v>2312</v>
      </c>
    </row>
    <row r="853" spans="1:10" ht="14.4" customHeight="1" thickTop="1" thickBot="1" x14ac:dyDescent="0.6">
      <c r="A853" s="26">
        <v>56</v>
      </c>
      <c r="B853" s="43">
        <v>1150793</v>
      </c>
      <c r="C853" s="6" t="s">
        <v>2313</v>
      </c>
      <c r="D853" s="25" t="s">
        <v>2235</v>
      </c>
      <c r="E853" s="111" t="s">
        <v>2314</v>
      </c>
      <c r="F853" s="4">
        <v>151087</v>
      </c>
      <c r="G853" s="26">
        <v>1</v>
      </c>
      <c r="H853" s="7">
        <v>45531</v>
      </c>
      <c r="J853" s="47" t="s">
        <v>2315</v>
      </c>
    </row>
    <row r="854" spans="1:10" ht="14.4" customHeight="1" thickTop="1" thickBot="1" x14ac:dyDescent="0.6">
      <c r="A854" s="26">
        <v>57</v>
      </c>
      <c r="B854" s="43">
        <v>1150524</v>
      </c>
      <c r="C854" s="6" t="s">
        <v>2316</v>
      </c>
      <c r="D854" s="25" t="s">
        <v>2235</v>
      </c>
      <c r="E854" s="111">
        <v>760417184</v>
      </c>
      <c r="F854" s="4" t="str">
        <f>"0"&amp;20720</f>
        <v>020720</v>
      </c>
      <c r="G854" s="26">
        <v>1</v>
      </c>
      <c r="H854" s="7">
        <v>45231</v>
      </c>
      <c r="I854" s="7">
        <v>45231</v>
      </c>
      <c r="J854" s="47" t="s">
        <v>2317</v>
      </c>
    </row>
    <row r="855" spans="1:10" ht="14.4" customHeight="1" thickTop="1" thickBot="1" x14ac:dyDescent="0.6">
      <c r="A855" s="26">
        <v>58</v>
      </c>
      <c r="B855" s="43">
        <v>1150914</v>
      </c>
      <c r="C855" s="6" t="s">
        <v>2318</v>
      </c>
      <c r="D855" s="25" t="s">
        <v>2235</v>
      </c>
      <c r="E855" s="111">
        <v>513509414</v>
      </c>
      <c r="F855" s="4">
        <v>151178</v>
      </c>
      <c r="G855" s="26">
        <v>1</v>
      </c>
      <c r="H855" s="7">
        <v>45577</v>
      </c>
      <c r="J855" s="47" t="s">
        <v>2319</v>
      </c>
    </row>
    <row r="856" spans="1:10" ht="14.4" customHeight="1" thickTop="1" thickBot="1" x14ac:dyDescent="0.6">
      <c r="A856" s="26">
        <v>59</v>
      </c>
      <c r="D856" s="25" t="s">
        <v>2235</v>
      </c>
      <c r="J856" s="47"/>
    </row>
    <row r="857" spans="1:10" ht="14.4" customHeight="1" thickTop="1" thickBot="1" x14ac:dyDescent="0.6">
      <c r="A857" s="26">
        <v>60</v>
      </c>
      <c r="B857" s="43">
        <v>1150662</v>
      </c>
      <c r="C857" s="6" t="s">
        <v>2320</v>
      </c>
      <c r="D857" s="25" t="s">
        <v>2235</v>
      </c>
      <c r="E857" s="111">
        <v>779508371</v>
      </c>
      <c r="F857" s="4">
        <v>137359</v>
      </c>
      <c r="G857" s="26">
        <v>1</v>
      </c>
      <c r="H857" s="7">
        <v>45392</v>
      </c>
      <c r="J857" s="47" t="s">
        <v>2321</v>
      </c>
    </row>
    <row r="858" spans="1:10" ht="14.4" customHeight="1" thickTop="1" thickBot="1" x14ac:dyDescent="0.6">
      <c r="A858" s="26">
        <v>61</v>
      </c>
      <c r="B858" s="43">
        <v>1150323</v>
      </c>
      <c r="C858" s="6" t="s">
        <v>2322</v>
      </c>
      <c r="D858" s="25" t="s">
        <v>2235</v>
      </c>
      <c r="E858" s="111">
        <v>768206537</v>
      </c>
      <c r="F858" s="4">
        <v>656518</v>
      </c>
      <c r="G858" s="26">
        <v>1</v>
      </c>
      <c r="J858" s="5" t="s">
        <v>2323</v>
      </c>
    </row>
    <row r="859" spans="1:10" ht="14.4" customHeight="1" thickTop="1" thickBot="1" x14ac:dyDescent="0.6">
      <c r="A859" s="26">
        <v>62</v>
      </c>
      <c r="B859" s="43">
        <v>1150770</v>
      </c>
      <c r="C859" s="6" t="s">
        <v>2324</v>
      </c>
      <c r="D859" s="25" t="s">
        <v>2235</v>
      </c>
      <c r="E859" s="111">
        <v>777284049</v>
      </c>
      <c r="F859" s="4">
        <v>148554</v>
      </c>
      <c r="G859" s="26">
        <v>1</v>
      </c>
      <c r="H859" s="7">
        <v>45519</v>
      </c>
      <c r="J859" s="47" t="s">
        <v>2325</v>
      </c>
    </row>
    <row r="860" spans="1:10" ht="14.4" customHeight="1" thickTop="1" thickBot="1" x14ac:dyDescent="0.6">
      <c r="A860" s="26">
        <v>63</v>
      </c>
      <c r="D860" s="25" t="s">
        <v>2235</v>
      </c>
      <c r="J860" s="47"/>
    </row>
    <row r="861" spans="1:10" thickTop="1" thickBot="1" x14ac:dyDescent="0.6">
      <c r="A861" s="26">
        <v>64</v>
      </c>
      <c r="B861" s="43">
        <v>1151176</v>
      </c>
      <c r="C861" s="6" t="s">
        <v>2326</v>
      </c>
      <c r="D861" s="25" t="s">
        <v>2235</v>
      </c>
      <c r="F861" s="4">
        <v>161383</v>
      </c>
      <c r="G861" s="26">
        <v>1</v>
      </c>
      <c r="H861" s="7">
        <v>45606</v>
      </c>
      <c r="J861" s="47"/>
    </row>
    <row r="862" spans="1:10" thickTop="1" thickBot="1" x14ac:dyDescent="0.6">
      <c r="A862" s="26">
        <v>65</v>
      </c>
      <c r="D862" s="25" t="s">
        <v>2235</v>
      </c>
      <c r="J862" s="47"/>
    </row>
    <row r="863" spans="1:10" thickTop="1" thickBot="1" x14ac:dyDescent="0.6">
      <c r="A863" s="26">
        <v>66</v>
      </c>
      <c r="D863" s="25" t="s">
        <v>2235</v>
      </c>
      <c r="J863" s="47"/>
    </row>
    <row r="864" spans="1:10" thickTop="1" thickBot="1" x14ac:dyDescent="0.6">
      <c r="A864" s="26">
        <v>67</v>
      </c>
      <c r="B864" s="43">
        <v>1151397</v>
      </c>
      <c r="C864" s="6" t="s">
        <v>2757</v>
      </c>
      <c r="D864" s="25" t="s">
        <v>2235</v>
      </c>
      <c r="E864" s="111">
        <v>741373081</v>
      </c>
      <c r="F864" s="4">
        <v>481302</v>
      </c>
      <c r="G864" s="26">
        <v>1</v>
      </c>
      <c r="H864" s="7">
        <v>45708</v>
      </c>
      <c r="J864" s="47" t="s">
        <v>2758</v>
      </c>
    </row>
    <row r="865" spans="1:10" thickTop="1" thickBot="1" x14ac:dyDescent="0.6">
      <c r="A865" s="26">
        <v>68</v>
      </c>
      <c r="D865" s="25" t="s">
        <v>2235</v>
      </c>
      <c r="J865" s="47"/>
    </row>
    <row r="866" spans="1:10" thickTop="1" thickBot="1" x14ac:dyDescent="0.6">
      <c r="A866" s="26">
        <v>69</v>
      </c>
      <c r="D866" s="25" t="s">
        <v>2235</v>
      </c>
      <c r="J866" s="47"/>
    </row>
    <row r="867" spans="1:10" thickTop="1" thickBot="1" x14ac:dyDescent="0.6">
      <c r="A867" s="26">
        <v>70</v>
      </c>
      <c r="B867" s="43">
        <v>1150251</v>
      </c>
      <c r="C867" s="6" t="s">
        <v>3418</v>
      </c>
      <c r="D867" s="25" t="s">
        <v>2235</v>
      </c>
      <c r="E867" s="111">
        <v>773118344</v>
      </c>
      <c r="F867" s="4">
        <v>620068</v>
      </c>
      <c r="G867" s="26">
        <v>1</v>
      </c>
      <c r="H867" s="7">
        <v>45957</v>
      </c>
      <c r="J867" s="47" t="s">
        <v>3419</v>
      </c>
    </row>
    <row r="868" spans="1:10" thickTop="1" thickBot="1" x14ac:dyDescent="0.6">
      <c r="A868" s="26">
        <v>71</v>
      </c>
      <c r="B868" s="43">
        <v>1150501</v>
      </c>
      <c r="C868" s="6" t="s">
        <v>2328</v>
      </c>
      <c r="D868" s="25" t="s">
        <v>2235</v>
      </c>
      <c r="E868" s="111" t="s">
        <v>2329</v>
      </c>
      <c r="F868" s="4">
        <v>156292</v>
      </c>
      <c r="G868" s="26">
        <v>1</v>
      </c>
      <c r="H868" s="7">
        <v>44949</v>
      </c>
      <c r="I868" s="7">
        <v>44949</v>
      </c>
      <c r="J868" s="5" t="s">
        <v>2330</v>
      </c>
    </row>
    <row r="869" spans="1:10" thickTop="1" thickBot="1" x14ac:dyDescent="0.6">
      <c r="A869" s="26">
        <v>72</v>
      </c>
      <c r="B869" s="43">
        <v>1151501</v>
      </c>
      <c r="C869" s="6" t="s">
        <v>3061</v>
      </c>
      <c r="D869" s="25" t="s">
        <v>2235</v>
      </c>
      <c r="E869" s="111" t="s">
        <v>3062</v>
      </c>
      <c r="F869" s="4">
        <v>632946</v>
      </c>
      <c r="G869" s="26">
        <v>1</v>
      </c>
      <c r="H869" s="7">
        <v>45785</v>
      </c>
      <c r="J869" s="47" t="s">
        <v>3063</v>
      </c>
    </row>
    <row r="870" spans="1:10" thickTop="1" thickBot="1" x14ac:dyDescent="0.6">
      <c r="A870" s="26">
        <v>73</v>
      </c>
      <c r="D870" s="25" t="s">
        <v>2235</v>
      </c>
      <c r="J870" s="47"/>
    </row>
    <row r="871" spans="1:10" thickTop="1" thickBot="1" x14ac:dyDescent="0.6">
      <c r="A871" s="26">
        <v>74</v>
      </c>
      <c r="D871" s="25" t="s">
        <v>2235</v>
      </c>
      <c r="J871" s="47"/>
    </row>
    <row r="872" spans="1:10" thickTop="1" thickBot="1" x14ac:dyDescent="0.6">
      <c r="A872" s="26">
        <v>75</v>
      </c>
      <c r="D872" s="25" t="s">
        <v>2235</v>
      </c>
      <c r="J872" s="47"/>
    </row>
    <row r="873" spans="1:10" thickTop="1" thickBot="1" x14ac:dyDescent="0.6">
      <c r="A873" s="26">
        <v>76</v>
      </c>
      <c r="B873" s="43">
        <v>1150498</v>
      </c>
      <c r="C873" s="6" t="s">
        <v>2331</v>
      </c>
      <c r="D873" s="25" t="s">
        <v>2235</v>
      </c>
      <c r="E873" s="111">
        <v>772427204</v>
      </c>
      <c r="F873" s="4" t="str">
        <f>"0"&amp;93305</f>
        <v>093305</v>
      </c>
      <c r="G873" s="26">
        <v>1</v>
      </c>
      <c r="I873" s="7">
        <v>45170</v>
      </c>
      <c r="J873" s="47"/>
    </row>
    <row r="874" spans="1:10" thickTop="1" thickBot="1" x14ac:dyDescent="0.6">
      <c r="A874" s="26">
        <v>77</v>
      </c>
      <c r="B874" s="43">
        <v>1151386</v>
      </c>
      <c r="C874" s="6" t="s">
        <v>2732</v>
      </c>
      <c r="D874" s="25" t="s">
        <v>2235</v>
      </c>
      <c r="E874" s="111">
        <v>77</v>
      </c>
      <c r="F874" s="4">
        <v>434806</v>
      </c>
      <c r="G874" s="26">
        <v>1</v>
      </c>
      <c r="H874" s="7">
        <v>45704</v>
      </c>
      <c r="J874" s="47"/>
    </row>
    <row r="875" spans="1:10" thickTop="1" thickBot="1" x14ac:dyDescent="0.6">
      <c r="A875" s="26">
        <v>78</v>
      </c>
      <c r="D875" s="25" t="s">
        <v>2235</v>
      </c>
      <c r="J875" s="47"/>
    </row>
    <row r="876" spans="1:10" thickTop="1" thickBot="1" x14ac:dyDescent="0.6">
      <c r="A876" s="26">
        <v>80</v>
      </c>
      <c r="B876" s="43">
        <v>1151177</v>
      </c>
      <c r="C876" s="6" t="s">
        <v>2334</v>
      </c>
      <c r="D876" s="25" t="s">
        <v>2235</v>
      </c>
      <c r="E876" s="111">
        <v>774262774</v>
      </c>
      <c r="F876" s="4">
        <v>162191</v>
      </c>
      <c r="G876" s="26">
        <v>1</v>
      </c>
      <c r="H876" s="7">
        <v>45606</v>
      </c>
      <c r="J876" s="47"/>
    </row>
    <row r="877" spans="1:10" thickTop="1" thickBot="1" x14ac:dyDescent="0.6">
      <c r="A877" s="26">
        <v>81</v>
      </c>
      <c r="D877" s="25" t="s">
        <v>2235</v>
      </c>
      <c r="J877" s="47"/>
    </row>
    <row r="878" spans="1:10" thickTop="1" thickBot="1" x14ac:dyDescent="0.6">
      <c r="A878" s="26">
        <v>82</v>
      </c>
      <c r="B878" s="43">
        <v>1151029</v>
      </c>
      <c r="C878" s="6" t="s">
        <v>2335</v>
      </c>
      <c r="D878" s="25" t="s">
        <v>2235</v>
      </c>
      <c r="E878" s="111">
        <v>758810444</v>
      </c>
      <c r="F878" s="4">
        <v>158702</v>
      </c>
      <c r="G878" s="26">
        <v>1</v>
      </c>
      <c r="H878" s="7">
        <v>45594</v>
      </c>
      <c r="J878" s="47" t="s">
        <v>2336</v>
      </c>
    </row>
    <row r="879" spans="1:10" thickTop="1" thickBot="1" x14ac:dyDescent="0.6">
      <c r="A879" s="26">
        <v>83</v>
      </c>
      <c r="B879" s="43">
        <v>1151178</v>
      </c>
      <c r="C879" s="6" t="s">
        <v>2337</v>
      </c>
      <c r="D879" s="25" t="s">
        <v>2235</v>
      </c>
      <c r="E879" s="111">
        <v>760407838</v>
      </c>
      <c r="F879" s="4">
        <v>340318</v>
      </c>
      <c r="G879" s="26">
        <v>1</v>
      </c>
      <c r="H879" s="7">
        <v>45606</v>
      </c>
      <c r="J879" s="47" t="s">
        <v>2338</v>
      </c>
    </row>
    <row r="880" spans="1:10" thickTop="1" thickBot="1" x14ac:dyDescent="0.6">
      <c r="A880" s="26">
        <v>84</v>
      </c>
      <c r="B880" s="43">
        <v>1151434</v>
      </c>
      <c r="C880" s="6" t="s">
        <v>2852</v>
      </c>
      <c r="D880" s="25" t="s">
        <v>2235</v>
      </c>
      <c r="E880" s="111">
        <v>772120545</v>
      </c>
      <c r="F880" s="4">
        <v>387327</v>
      </c>
      <c r="G880" s="26">
        <v>1</v>
      </c>
      <c r="H880" s="7">
        <v>45735</v>
      </c>
      <c r="J880" s="47" t="s">
        <v>2853</v>
      </c>
    </row>
    <row r="881" spans="1:10" thickTop="1" thickBot="1" x14ac:dyDescent="0.6">
      <c r="A881" s="26">
        <v>85</v>
      </c>
      <c r="D881" s="25" t="s">
        <v>2235</v>
      </c>
      <c r="J881" s="47"/>
    </row>
    <row r="882" spans="1:10" thickTop="1" thickBot="1" x14ac:dyDescent="0.6">
      <c r="A882" s="26">
        <v>86</v>
      </c>
      <c r="D882" s="25" t="s">
        <v>2235</v>
      </c>
      <c r="J882" s="47"/>
    </row>
    <row r="883" spans="1:10" thickTop="1" thickBot="1" x14ac:dyDescent="0.6">
      <c r="A883" s="26">
        <v>87</v>
      </c>
      <c r="B883" s="43">
        <v>1151595</v>
      </c>
      <c r="C883" s="6" t="s">
        <v>3402</v>
      </c>
      <c r="D883" s="25" t="s">
        <v>2235</v>
      </c>
      <c r="E883" s="111">
        <v>783552020</v>
      </c>
      <c r="F883" s="4">
        <v>726110</v>
      </c>
      <c r="G883" s="26">
        <v>1</v>
      </c>
      <c r="H883" s="7">
        <v>45945</v>
      </c>
      <c r="J883" s="47" t="s">
        <v>3403</v>
      </c>
    </row>
    <row r="884" spans="1:10" thickTop="1" thickBot="1" x14ac:dyDescent="0.6">
      <c r="A884" s="26">
        <v>88</v>
      </c>
      <c r="B884" s="43">
        <v>1151261</v>
      </c>
      <c r="C884" s="6" t="s">
        <v>2339</v>
      </c>
      <c r="D884" s="25" t="s">
        <v>2235</v>
      </c>
      <c r="E884" s="111">
        <v>767254028</v>
      </c>
      <c r="F884" s="4">
        <v>351851</v>
      </c>
      <c r="G884" s="26">
        <v>1</v>
      </c>
      <c r="H884" s="7">
        <v>45609</v>
      </c>
      <c r="J884" s="47" t="s">
        <v>2340</v>
      </c>
    </row>
    <row r="885" spans="1:10" thickTop="1" thickBot="1" x14ac:dyDescent="0.6">
      <c r="A885" s="26">
        <v>89</v>
      </c>
      <c r="B885" s="43">
        <v>1151281</v>
      </c>
      <c r="C885" s="6" t="s">
        <v>2341</v>
      </c>
      <c r="D885" s="25" t="s">
        <v>2235</v>
      </c>
      <c r="E885" s="111">
        <v>762755501</v>
      </c>
      <c r="F885" s="4">
        <v>306509</v>
      </c>
      <c r="G885" s="26">
        <v>1</v>
      </c>
      <c r="H885" s="7">
        <v>45610</v>
      </c>
      <c r="J885" s="47"/>
    </row>
    <row r="886" spans="1:10" thickTop="1" thickBot="1" x14ac:dyDescent="0.6">
      <c r="A886" s="26">
        <v>90</v>
      </c>
      <c r="D886" s="25" t="s">
        <v>2235</v>
      </c>
      <c r="J886" s="47"/>
    </row>
    <row r="887" spans="1:10" thickTop="1" thickBot="1" x14ac:dyDescent="0.6">
      <c r="A887" s="26">
        <v>91</v>
      </c>
      <c r="D887" s="25" t="s">
        <v>2235</v>
      </c>
      <c r="J887" s="47"/>
    </row>
    <row r="888" spans="1:10" thickTop="1" thickBot="1" x14ac:dyDescent="0.6">
      <c r="A888" s="26">
        <v>92</v>
      </c>
      <c r="B888" s="43">
        <v>1150236</v>
      </c>
      <c r="C888" s="6" t="s">
        <v>2342</v>
      </c>
      <c r="D888" s="25" t="s">
        <v>2235</v>
      </c>
      <c r="E888" s="111">
        <v>775310748</v>
      </c>
      <c r="F888" s="4">
        <v>495106</v>
      </c>
      <c r="G888" s="26">
        <v>1</v>
      </c>
      <c r="J888" s="47"/>
    </row>
    <row r="889" spans="1:10" thickTop="1" thickBot="1" x14ac:dyDescent="0.6">
      <c r="A889" s="26">
        <v>93</v>
      </c>
      <c r="B889" s="43">
        <v>1151111</v>
      </c>
      <c r="C889" s="6" t="s">
        <v>2343</v>
      </c>
      <c r="D889" s="25" t="s">
        <v>2235</v>
      </c>
      <c r="E889" s="111">
        <v>771989911</v>
      </c>
      <c r="F889" s="4">
        <v>93693</v>
      </c>
      <c r="G889" s="26">
        <v>1</v>
      </c>
      <c r="H889" s="7">
        <v>45604</v>
      </c>
      <c r="J889" s="47" t="s">
        <v>2344</v>
      </c>
    </row>
    <row r="890" spans="1:10" thickTop="1" thickBot="1" x14ac:dyDescent="0.6">
      <c r="A890" s="26">
        <v>94</v>
      </c>
      <c r="D890" s="25" t="s">
        <v>2235</v>
      </c>
      <c r="J890" s="47"/>
    </row>
    <row r="891" spans="1:10" thickTop="1" thickBot="1" x14ac:dyDescent="0.6">
      <c r="A891" s="26">
        <v>95</v>
      </c>
      <c r="D891" s="25" t="s">
        <v>2235</v>
      </c>
      <c r="J891" s="47"/>
    </row>
    <row r="892" spans="1:10" thickTop="1" thickBot="1" x14ac:dyDescent="0.6">
      <c r="A892" s="26">
        <v>96</v>
      </c>
      <c r="B892" s="43">
        <v>1150839</v>
      </c>
      <c r="C892" s="6" t="s">
        <v>2345</v>
      </c>
      <c r="D892" s="25" t="s">
        <v>2235</v>
      </c>
      <c r="E892" s="111">
        <v>708697383</v>
      </c>
      <c r="F892" s="4" t="str">
        <f>"0"&amp;90475</f>
        <v>090475</v>
      </c>
      <c r="G892" s="26">
        <v>1</v>
      </c>
      <c r="H892" s="7">
        <v>45554</v>
      </c>
      <c r="J892" s="47" t="s">
        <v>2346</v>
      </c>
    </row>
    <row r="893" spans="1:10" thickTop="1" thickBot="1" x14ac:dyDescent="0.6">
      <c r="A893" s="26">
        <v>97</v>
      </c>
      <c r="D893" s="25" t="s">
        <v>2235</v>
      </c>
      <c r="J893" s="47"/>
    </row>
    <row r="894" spans="1:10" thickTop="1" thickBot="1" x14ac:dyDescent="0.6">
      <c r="A894" s="26">
        <v>98</v>
      </c>
      <c r="D894" s="25" t="s">
        <v>2235</v>
      </c>
      <c r="J894" s="47"/>
    </row>
    <row r="895" spans="1:10" thickTop="1" thickBot="1" x14ac:dyDescent="0.6">
      <c r="A895" s="26">
        <v>99</v>
      </c>
      <c r="D895" s="25" t="s">
        <v>2235</v>
      </c>
      <c r="J895" s="47"/>
    </row>
    <row r="896" spans="1:10" thickTop="1" thickBot="1" x14ac:dyDescent="0.6">
      <c r="A896" s="26">
        <v>100</v>
      </c>
      <c r="D896" s="25" t="s">
        <v>2235</v>
      </c>
      <c r="I896" s="7">
        <v>44914</v>
      </c>
      <c r="J896" s="5"/>
    </row>
    <row r="897" spans="1:10" thickTop="1" thickBot="1" x14ac:dyDescent="0.6">
      <c r="A897" s="26">
        <v>101</v>
      </c>
      <c r="D897" s="25" t="s">
        <v>2235</v>
      </c>
      <c r="J897" s="47"/>
    </row>
    <row r="898" spans="1:10" thickTop="1" thickBot="1" x14ac:dyDescent="0.6">
      <c r="A898" s="26">
        <v>102</v>
      </c>
      <c r="D898" s="25" t="s">
        <v>2235</v>
      </c>
      <c r="J898" s="47"/>
    </row>
    <row r="899" spans="1:10" thickTop="1" thickBot="1" x14ac:dyDescent="0.6">
      <c r="A899" s="26">
        <v>103</v>
      </c>
      <c r="B899" s="43">
        <v>1150616</v>
      </c>
      <c r="C899" s="6" t="s">
        <v>2347</v>
      </c>
      <c r="D899" s="25" t="s">
        <v>2235</v>
      </c>
      <c r="F899" s="4">
        <v>522032</v>
      </c>
      <c r="G899" s="26">
        <v>1</v>
      </c>
      <c r="J899" s="47"/>
    </row>
    <row r="900" spans="1:10" thickTop="1" thickBot="1" x14ac:dyDescent="0.6">
      <c r="A900" s="26">
        <v>104</v>
      </c>
      <c r="D900" s="25" t="s">
        <v>2235</v>
      </c>
      <c r="J900" s="47"/>
    </row>
    <row r="901" spans="1:10" thickTop="1" thickBot="1" x14ac:dyDescent="0.6">
      <c r="A901" s="26">
        <v>105</v>
      </c>
      <c r="B901" s="43">
        <v>1150223</v>
      </c>
      <c r="C901" s="6" t="s">
        <v>2348</v>
      </c>
      <c r="D901" s="25" t="s">
        <v>2235</v>
      </c>
      <c r="E901" s="111">
        <v>770301013</v>
      </c>
      <c r="F901" s="4">
        <v>593868</v>
      </c>
      <c r="G901" s="26">
        <v>1</v>
      </c>
      <c r="J901" s="5">
        <v>197101103181</v>
      </c>
    </row>
    <row r="902" spans="1:10" thickTop="1" thickBot="1" x14ac:dyDescent="0.6">
      <c r="A902" s="26">
        <v>106</v>
      </c>
      <c r="B902" s="43">
        <v>1150639</v>
      </c>
      <c r="C902" s="6" t="s">
        <v>2349</v>
      </c>
      <c r="D902" s="25" t="s">
        <v>2235</v>
      </c>
      <c r="E902" s="111">
        <v>515617894</v>
      </c>
      <c r="F902" s="4">
        <v>104292</v>
      </c>
      <c r="G902" s="26">
        <v>1</v>
      </c>
      <c r="H902" s="7">
        <v>45333</v>
      </c>
      <c r="J902" s="47" t="s">
        <v>2350</v>
      </c>
    </row>
    <row r="903" spans="1:10" thickTop="1" thickBot="1" x14ac:dyDescent="0.6">
      <c r="A903" s="26">
        <v>107</v>
      </c>
      <c r="B903" s="43">
        <v>1151179</v>
      </c>
      <c r="C903" s="6" t="s">
        <v>3028</v>
      </c>
      <c r="D903" s="25" t="s">
        <v>2235</v>
      </c>
      <c r="E903" s="111">
        <v>756127062</v>
      </c>
      <c r="F903" s="4">
        <v>167380</v>
      </c>
      <c r="G903" s="26">
        <v>1</v>
      </c>
      <c r="H903" s="7">
        <v>45606</v>
      </c>
      <c r="J903" s="47" t="s">
        <v>2351</v>
      </c>
    </row>
    <row r="904" spans="1:10" thickTop="1" thickBot="1" x14ac:dyDescent="0.6">
      <c r="A904" s="26">
        <v>108</v>
      </c>
      <c r="B904" s="43">
        <v>1150183</v>
      </c>
      <c r="C904" s="6" t="s">
        <v>2352</v>
      </c>
      <c r="D904" s="25" t="s">
        <v>2235</v>
      </c>
      <c r="E904" s="111">
        <v>776016916</v>
      </c>
      <c r="F904" s="4">
        <v>598297</v>
      </c>
      <c r="G904" s="26">
        <v>1</v>
      </c>
      <c r="J904" s="5" t="s">
        <v>2353</v>
      </c>
    </row>
    <row r="905" spans="1:10" thickTop="1" thickBot="1" x14ac:dyDescent="0.6">
      <c r="A905" s="26">
        <v>109</v>
      </c>
      <c r="B905" s="43">
        <v>1150960</v>
      </c>
      <c r="C905" s="6" t="s">
        <v>2354</v>
      </c>
      <c r="D905" s="25" t="s">
        <v>2235</v>
      </c>
      <c r="E905" s="111">
        <v>762471002</v>
      </c>
      <c r="F905" s="4">
        <v>350358</v>
      </c>
      <c r="G905" s="26">
        <v>1</v>
      </c>
      <c r="H905" s="7">
        <v>45583</v>
      </c>
      <c r="J905" s="47"/>
    </row>
    <row r="906" spans="1:10" thickTop="1" thickBot="1" x14ac:dyDescent="0.6">
      <c r="A906" s="26">
        <v>110</v>
      </c>
      <c r="B906" s="43">
        <v>1151180</v>
      </c>
      <c r="C906" s="6" t="s">
        <v>2355</v>
      </c>
      <c r="D906" s="25" t="s">
        <v>2235</v>
      </c>
      <c r="E906" s="111" t="s">
        <v>2356</v>
      </c>
      <c r="F906" s="4">
        <v>217664</v>
      </c>
      <c r="G906" s="26">
        <v>1</v>
      </c>
      <c r="H906" s="7">
        <v>45606</v>
      </c>
      <c r="J906" s="47" t="s">
        <v>2357</v>
      </c>
    </row>
    <row r="907" spans="1:10" thickTop="1" thickBot="1" x14ac:dyDescent="0.6">
      <c r="A907" s="26">
        <v>111</v>
      </c>
      <c r="B907" s="43">
        <v>1150988</v>
      </c>
      <c r="C907" s="6" t="s">
        <v>2358</v>
      </c>
      <c r="D907" s="25" t="s">
        <v>2235</v>
      </c>
      <c r="E907" s="111" t="s">
        <v>2359</v>
      </c>
      <c r="F907" s="4">
        <v>319700</v>
      </c>
      <c r="G907" s="26">
        <v>1</v>
      </c>
      <c r="H907" s="7">
        <v>45592</v>
      </c>
      <c r="J907" s="47" t="s">
        <v>2360</v>
      </c>
    </row>
    <row r="908" spans="1:10" thickTop="1" thickBot="1" x14ac:dyDescent="0.6">
      <c r="A908" s="26">
        <v>112</v>
      </c>
      <c r="B908" s="43">
        <v>1151361</v>
      </c>
      <c r="C908" s="6" t="s">
        <v>2690</v>
      </c>
      <c r="D908" s="25" t="s">
        <v>2235</v>
      </c>
      <c r="E908" s="111">
        <v>776967001</v>
      </c>
      <c r="F908" s="4">
        <v>679145</v>
      </c>
      <c r="G908" s="26">
        <v>1</v>
      </c>
      <c r="H908" s="7">
        <v>45688</v>
      </c>
      <c r="J908" s="47"/>
    </row>
    <row r="909" spans="1:10" thickTop="1" thickBot="1" x14ac:dyDescent="0.6">
      <c r="A909" s="26">
        <v>113</v>
      </c>
      <c r="D909" s="25" t="s">
        <v>2235</v>
      </c>
      <c r="J909" s="47"/>
    </row>
    <row r="910" spans="1:10" thickTop="1" thickBot="1" x14ac:dyDescent="0.6">
      <c r="A910" s="26">
        <v>114</v>
      </c>
      <c r="B910" s="43">
        <v>1151181</v>
      </c>
      <c r="C910" s="6" t="s">
        <v>2361</v>
      </c>
      <c r="D910" s="25" t="s">
        <v>2235</v>
      </c>
      <c r="E910" s="111">
        <v>770494063</v>
      </c>
      <c r="F910" s="4">
        <v>445141</v>
      </c>
      <c r="G910" s="26">
        <v>1</v>
      </c>
      <c r="H910" s="7">
        <v>45606</v>
      </c>
      <c r="J910" s="47"/>
    </row>
    <row r="911" spans="1:10" thickTop="1" thickBot="1" x14ac:dyDescent="0.6">
      <c r="A911" s="26">
        <v>115</v>
      </c>
      <c r="B911" s="43">
        <v>1151346</v>
      </c>
      <c r="C911" s="6" t="s">
        <v>2847</v>
      </c>
      <c r="D911" s="25" t="s">
        <v>2235</v>
      </c>
      <c r="E911" s="111">
        <v>751698532</v>
      </c>
      <c r="F911" s="4">
        <v>615214</v>
      </c>
      <c r="G911" s="26">
        <v>1</v>
      </c>
      <c r="H911" s="7">
        <v>45684</v>
      </c>
      <c r="J911" s="47"/>
    </row>
    <row r="912" spans="1:10" thickTop="1" thickBot="1" x14ac:dyDescent="0.6">
      <c r="A912" s="26">
        <v>116</v>
      </c>
      <c r="D912" s="25" t="s">
        <v>2235</v>
      </c>
      <c r="J912" s="47"/>
    </row>
    <row r="913" spans="1:10" thickTop="1" thickBot="1" x14ac:dyDescent="0.6">
      <c r="A913" s="26">
        <v>117</v>
      </c>
      <c r="D913" s="25" t="s">
        <v>2235</v>
      </c>
      <c r="J913" s="47"/>
    </row>
    <row r="914" spans="1:10" thickTop="1" thickBot="1" x14ac:dyDescent="0.6">
      <c r="A914" s="26">
        <v>118</v>
      </c>
      <c r="B914" s="43">
        <v>1150925</v>
      </c>
      <c r="C914" s="6" t="s">
        <v>2362</v>
      </c>
      <c r="D914" s="25" t="s">
        <v>2235</v>
      </c>
      <c r="E914" s="111">
        <v>761160334</v>
      </c>
      <c r="F914" s="4">
        <v>446552</v>
      </c>
      <c r="G914" s="26">
        <v>1</v>
      </c>
      <c r="H914" s="7">
        <v>45578</v>
      </c>
      <c r="J914" s="47" t="s">
        <v>2363</v>
      </c>
    </row>
    <row r="915" spans="1:10" thickTop="1" thickBot="1" x14ac:dyDescent="0.6">
      <c r="A915" s="26">
        <v>119</v>
      </c>
      <c r="C915" s="6" t="s">
        <v>2364</v>
      </c>
      <c r="D915" s="25" t="s">
        <v>2235</v>
      </c>
      <c r="H915" s="7"/>
      <c r="J915" s="47" t="s">
        <v>2365</v>
      </c>
    </row>
    <row r="916" spans="1:10" thickTop="1" thickBot="1" x14ac:dyDescent="0.6">
      <c r="A916" s="26">
        <v>120</v>
      </c>
      <c r="D916" s="25" t="s">
        <v>2235</v>
      </c>
      <c r="J916" s="47"/>
    </row>
    <row r="917" spans="1:10" thickTop="1" thickBot="1" x14ac:dyDescent="0.6">
      <c r="A917" s="26">
        <v>121</v>
      </c>
      <c r="B917" s="43">
        <v>1150231</v>
      </c>
      <c r="C917" s="6" t="s">
        <v>2366</v>
      </c>
      <c r="D917" s="25" t="s">
        <v>2235</v>
      </c>
      <c r="E917" s="111">
        <v>515717342</v>
      </c>
      <c r="F917" s="4">
        <v>728507</v>
      </c>
      <c r="G917" s="26">
        <v>1</v>
      </c>
      <c r="J917" s="5" t="s">
        <v>2367</v>
      </c>
    </row>
    <row r="918" spans="1:10" thickTop="1" thickBot="1" x14ac:dyDescent="0.6">
      <c r="A918" s="26">
        <v>122</v>
      </c>
      <c r="B918" s="43">
        <v>1151071</v>
      </c>
      <c r="C918" s="6" t="s">
        <v>2368</v>
      </c>
      <c r="D918" s="25" t="s">
        <v>2235</v>
      </c>
      <c r="E918" s="111">
        <v>778343595</v>
      </c>
      <c r="F918" s="4">
        <v>316334</v>
      </c>
      <c r="G918" s="26">
        <v>1</v>
      </c>
      <c r="H918" s="7">
        <v>45601</v>
      </c>
      <c r="J918" s="47"/>
    </row>
    <row r="919" spans="1:10" thickTop="1" thickBot="1" x14ac:dyDescent="0.6">
      <c r="A919" s="26">
        <v>123</v>
      </c>
      <c r="B919" s="43">
        <v>1150426</v>
      </c>
      <c r="C919" s="6" t="s">
        <v>2369</v>
      </c>
      <c r="D919" s="25" t="s">
        <v>2235</v>
      </c>
      <c r="E919" s="111">
        <v>761955710</v>
      </c>
      <c r="F919" s="4">
        <v>156458</v>
      </c>
      <c r="G919" s="26">
        <v>1</v>
      </c>
      <c r="H919" s="7">
        <v>44971</v>
      </c>
      <c r="I919" s="7">
        <v>44971</v>
      </c>
      <c r="J919" s="5">
        <v>199886000016</v>
      </c>
    </row>
    <row r="920" spans="1:10" thickTop="1" thickBot="1" x14ac:dyDescent="0.6">
      <c r="A920" s="26">
        <v>124</v>
      </c>
      <c r="B920" s="43">
        <v>1150532</v>
      </c>
      <c r="C920" s="6" t="s">
        <v>2370</v>
      </c>
      <c r="D920" s="25" t="s">
        <v>2235</v>
      </c>
      <c r="E920" s="111" t="s">
        <v>2371</v>
      </c>
      <c r="F920" s="4">
        <v>146426</v>
      </c>
      <c r="G920" s="26">
        <v>1</v>
      </c>
      <c r="I920" s="7">
        <v>45244</v>
      </c>
      <c r="J920" s="5" t="s">
        <v>2372</v>
      </c>
    </row>
    <row r="921" spans="1:10" thickTop="1" thickBot="1" x14ac:dyDescent="0.6">
      <c r="A921" s="26">
        <v>125</v>
      </c>
      <c r="C921" s="6" t="s">
        <v>2373</v>
      </c>
      <c r="D921" s="25" t="s">
        <v>2235</v>
      </c>
      <c r="E921" s="111">
        <v>774741190</v>
      </c>
      <c r="F921" s="4" t="str">
        <f>"0"&amp;93065</f>
        <v>093065</v>
      </c>
      <c r="G921" s="26">
        <v>1</v>
      </c>
      <c r="H921" s="7">
        <v>45434</v>
      </c>
      <c r="I921" s="7"/>
      <c r="J921" s="5" t="s">
        <v>2374</v>
      </c>
    </row>
    <row r="922" spans="1:10" thickTop="1" thickBot="1" x14ac:dyDescent="0.6">
      <c r="A922" s="26">
        <v>1</v>
      </c>
      <c r="B922" s="43">
        <v>1150069</v>
      </c>
      <c r="C922" s="6" t="s">
        <v>2375</v>
      </c>
      <c r="D922" s="25" t="s">
        <v>2376</v>
      </c>
      <c r="F922" s="4">
        <v>700083</v>
      </c>
      <c r="G922" s="26">
        <v>1</v>
      </c>
      <c r="J922" s="48"/>
    </row>
    <row r="923" spans="1:10" thickTop="1" thickBot="1" x14ac:dyDescent="0.6">
      <c r="A923" s="26">
        <v>2</v>
      </c>
      <c r="B923" s="43">
        <v>1150512</v>
      </c>
      <c r="C923" s="6" t="s">
        <v>2377</v>
      </c>
      <c r="D923" s="25" t="s">
        <v>2376</v>
      </c>
      <c r="E923" s="111">
        <v>768890488</v>
      </c>
      <c r="F923" s="4">
        <v>157027</v>
      </c>
      <c r="G923" s="26">
        <v>1</v>
      </c>
      <c r="I923" s="7">
        <v>45215</v>
      </c>
      <c r="J923" s="48" t="s">
        <v>2378</v>
      </c>
    </row>
    <row r="924" spans="1:10" thickTop="1" thickBot="1" x14ac:dyDescent="0.6">
      <c r="A924" s="26">
        <v>3</v>
      </c>
      <c r="C924" s="6" t="s">
        <v>1740</v>
      </c>
      <c r="D924" s="25" t="s">
        <v>2376</v>
      </c>
      <c r="E924" s="111">
        <v>768062702</v>
      </c>
      <c r="G924" s="26">
        <v>1</v>
      </c>
      <c r="J924" s="5"/>
    </row>
    <row r="925" spans="1:10" thickTop="1" thickBot="1" x14ac:dyDescent="0.6">
      <c r="A925" s="26">
        <v>4</v>
      </c>
      <c r="D925" s="25" t="s">
        <v>2376</v>
      </c>
      <c r="J925" s="48"/>
    </row>
    <row r="926" spans="1:10" thickTop="1" thickBot="1" x14ac:dyDescent="0.6">
      <c r="A926" s="26">
        <v>5</v>
      </c>
      <c r="B926" s="43">
        <v>1151380</v>
      </c>
      <c r="C926" s="6" t="s">
        <v>2719</v>
      </c>
      <c r="D926" s="25" t="s">
        <v>2376</v>
      </c>
      <c r="E926" s="111">
        <v>773989206</v>
      </c>
      <c r="F926" s="4">
        <v>431760</v>
      </c>
      <c r="G926" s="26">
        <v>1</v>
      </c>
      <c r="H926" s="7">
        <v>45700</v>
      </c>
      <c r="J926" s="48" t="s">
        <v>2720</v>
      </c>
    </row>
    <row r="927" spans="1:10" thickTop="1" thickBot="1" x14ac:dyDescent="0.6">
      <c r="A927" s="26">
        <v>6</v>
      </c>
      <c r="B927" s="43">
        <v>1151203</v>
      </c>
      <c r="C927" s="6" t="s">
        <v>2379</v>
      </c>
      <c r="D927" s="25" t="s">
        <v>2376</v>
      </c>
      <c r="E927" s="111">
        <v>774378803</v>
      </c>
      <c r="F927" s="4">
        <v>426976</v>
      </c>
      <c r="G927" s="26">
        <v>1</v>
      </c>
      <c r="H927" s="7">
        <v>45607</v>
      </c>
      <c r="J927" s="48" t="s">
        <v>2380</v>
      </c>
    </row>
    <row r="928" spans="1:10" thickTop="1" thickBot="1" x14ac:dyDescent="0.6">
      <c r="A928" s="26">
        <v>7</v>
      </c>
      <c r="B928" s="43">
        <v>1151403</v>
      </c>
      <c r="C928" s="6" t="s">
        <v>2772</v>
      </c>
      <c r="D928" s="25" t="s">
        <v>2376</v>
      </c>
      <c r="E928" s="111">
        <v>767636253</v>
      </c>
      <c r="F928" s="4">
        <v>674252</v>
      </c>
      <c r="G928" s="26">
        <v>1</v>
      </c>
      <c r="H928" s="7">
        <v>45713</v>
      </c>
      <c r="J928" s="48" t="s">
        <v>2773</v>
      </c>
    </row>
    <row r="929" spans="1:10" thickTop="1" thickBot="1" x14ac:dyDescent="0.6">
      <c r="A929" s="26">
        <v>8</v>
      </c>
      <c r="B929" s="43">
        <v>1151188</v>
      </c>
      <c r="C929" s="6" t="s">
        <v>3305</v>
      </c>
      <c r="D929" s="25" t="s">
        <v>2376</v>
      </c>
      <c r="E929" s="111">
        <v>775876514</v>
      </c>
      <c r="F929" s="4">
        <v>458672</v>
      </c>
      <c r="G929" s="26">
        <v>1</v>
      </c>
      <c r="H929" s="7">
        <v>45606</v>
      </c>
      <c r="J929" s="48" t="s">
        <v>2381</v>
      </c>
    </row>
    <row r="930" spans="1:10" thickTop="1" thickBot="1" x14ac:dyDescent="0.6">
      <c r="A930" s="26">
        <v>9</v>
      </c>
      <c r="D930" s="25" t="s">
        <v>2376</v>
      </c>
      <c r="J930" s="48"/>
    </row>
    <row r="931" spans="1:10" thickTop="1" thickBot="1" x14ac:dyDescent="0.6">
      <c r="A931" s="26">
        <v>10</v>
      </c>
      <c r="D931" s="25" t="s">
        <v>2376</v>
      </c>
      <c r="J931" s="48"/>
    </row>
    <row r="932" spans="1:10" thickTop="1" thickBot="1" x14ac:dyDescent="0.6">
      <c r="A932" s="26">
        <v>11</v>
      </c>
      <c r="D932" s="25" t="s">
        <v>2376</v>
      </c>
      <c r="J932" s="48"/>
    </row>
    <row r="933" spans="1:10" thickTop="1" thickBot="1" x14ac:dyDescent="0.6">
      <c r="A933" s="26">
        <v>12</v>
      </c>
      <c r="D933" s="25" t="s">
        <v>2376</v>
      </c>
      <c r="J933" s="48"/>
    </row>
    <row r="934" spans="1:10" thickTop="1" thickBot="1" x14ac:dyDescent="0.6">
      <c r="A934" s="26">
        <v>13</v>
      </c>
      <c r="D934" s="25" t="s">
        <v>2376</v>
      </c>
      <c r="J934" s="5"/>
    </row>
    <row r="935" spans="1:10" thickTop="1" thickBot="1" x14ac:dyDescent="0.6">
      <c r="A935" s="26">
        <v>14</v>
      </c>
      <c r="B935" s="43">
        <v>1150915</v>
      </c>
      <c r="C935" s="6" t="s">
        <v>2382</v>
      </c>
      <c r="D935" s="25" t="s">
        <v>2376</v>
      </c>
      <c r="E935" s="111">
        <v>515710185</v>
      </c>
      <c r="F935" s="4">
        <v>153885</v>
      </c>
      <c r="G935" s="26">
        <v>1</v>
      </c>
      <c r="H935" s="7">
        <v>45577</v>
      </c>
      <c r="J935" s="4">
        <v>199973910523</v>
      </c>
    </row>
    <row r="936" spans="1:10" thickTop="1" thickBot="1" x14ac:dyDescent="0.6">
      <c r="A936" s="26">
        <v>15</v>
      </c>
      <c r="B936" s="43">
        <v>1150318</v>
      </c>
      <c r="C936" s="6" t="s">
        <v>2010</v>
      </c>
      <c r="D936" s="25" t="s">
        <v>2376</v>
      </c>
      <c r="E936" s="111">
        <v>769015037</v>
      </c>
      <c r="F936" s="4">
        <v>277579</v>
      </c>
      <c r="G936" s="26">
        <v>1</v>
      </c>
      <c r="J936" s="5">
        <v>200017403541</v>
      </c>
    </row>
    <row r="937" spans="1:10" thickTop="1" thickBot="1" x14ac:dyDescent="0.6">
      <c r="A937" s="26">
        <v>16</v>
      </c>
      <c r="B937" s="43">
        <v>1151334</v>
      </c>
      <c r="C937" s="6" t="s">
        <v>2383</v>
      </c>
      <c r="D937" s="25" t="s">
        <v>2376</v>
      </c>
      <c r="E937" s="111">
        <v>761041850</v>
      </c>
      <c r="F937" s="4">
        <v>260920</v>
      </c>
      <c r="G937" s="26">
        <v>1</v>
      </c>
      <c r="H937" s="7">
        <v>45630</v>
      </c>
      <c r="J937" s="48" t="s">
        <v>2384</v>
      </c>
    </row>
    <row r="938" spans="1:10" thickTop="1" thickBot="1" x14ac:dyDescent="0.6">
      <c r="A938" s="26">
        <v>17</v>
      </c>
      <c r="B938" s="43">
        <v>1150641</v>
      </c>
      <c r="C938" s="6" t="s">
        <v>2332</v>
      </c>
      <c r="D938" s="25" t="s">
        <v>2376</v>
      </c>
      <c r="E938" s="111">
        <v>515684930</v>
      </c>
      <c r="F938" s="4">
        <v>140858</v>
      </c>
      <c r="G938" s="26">
        <v>1</v>
      </c>
      <c r="H938" s="7">
        <v>45334</v>
      </c>
      <c r="J938" s="48" t="s">
        <v>2385</v>
      </c>
    </row>
    <row r="939" spans="1:10" thickTop="1" thickBot="1" x14ac:dyDescent="0.6">
      <c r="A939" s="26">
        <v>18</v>
      </c>
      <c r="D939" s="25" t="s">
        <v>2376</v>
      </c>
      <c r="J939" s="48"/>
    </row>
    <row r="940" spans="1:10" thickTop="1" thickBot="1" x14ac:dyDescent="0.6">
      <c r="A940" s="26">
        <v>19</v>
      </c>
      <c r="D940" s="25" t="s">
        <v>2376</v>
      </c>
      <c r="J940" s="48"/>
    </row>
    <row r="941" spans="1:10" thickTop="1" thickBot="1" x14ac:dyDescent="0.6">
      <c r="A941" s="26">
        <v>20</v>
      </c>
      <c r="D941" s="25" t="s">
        <v>2376</v>
      </c>
      <c r="J941" s="48"/>
    </row>
    <row r="942" spans="1:10" thickTop="1" thickBot="1" x14ac:dyDescent="0.6">
      <c r="A942" s="26">
        <v>21</v>
      </c>
      <c r="B942" s="43">
        <v>1150274</v>
      </c>
      <c r="C942" s="6" t="s">
        <v>2046</v>
      </c>
      <c r="D942" s="25" t="s">
        <v>2376</v>
      </c>
      <c r="E942" s="111" t="s">
        <v>2386</v>
      </c>
      <c r="F942" s="4">
        <v>116538</v>
      </c>
      <c r="G942" s="26">
        <v>1</v>
      </c>
      <c r="J942" s="5" t="s">
        <v>2387</v>
      </c>
    </row>
    <row r="943" spans="1:10" thickTop="1" thickBot="1" x14ac:dyDescent="0.6">
      <c r="A943" s="26">
        <v>22</v>
      </c>
      <c r="B943" s="43">
        <v>1151373</v>
      </c>
      <c r="C943" s="6" t="s">
        <v>2711</v>
      </c>
      <c r="D943" s="25" t="s">
        <v>2376</v>
      </c>
      <c r="E943" s="111">
        <v>742558384</v>
      </c>
      <c r="F943" s="4">
        <v>409584</v>
      </c>
      <c r="G943" s="26">
        <v>1</v>
      </c>
      <c r="H943" s="7">
        <v>45697</v>
      </c>
      <c r="J943" s="48" t="s">
        <v>2712</v>
      </c>
    </row>
    <row r="944" spans="1:10" thickTop="1" thickBot="1" x14ac:dyDescent="0.6">
      <c r="A944" s="26">
        <v>23</v>
      </c>
      <c r="D944" s="25" t="s">
        <v>2376</v>
      </c>
      <c r="J944" s="48"/>
    </row>
    <row r="945" spans="1:10" thickTop="1" thickBot="1" x14ac:dyDescent="0.6">
      <c r="A945" s="26">
        <v>24</v>
      </c>
      <c r="B945" s="43">
        <v>1150266</v>
      </c>
      <c r="C945" s="6" t="s">
        <v>2388</v>
      </c>
      <c r="D945" s="25" t="s">
        <v>2376</v>
      </c>
      <c r="E945" s="111" t="s">
        <v>2389</v>
      </c>
      <c r="F945" s="4">
        <v>557715</v>
      </c>
      <c r="G945" s="26">
        <v>1</v>
      </c>
      <c r="J945" s="5" t="s">
        <v>2390</v>
      </c>
    </row>
    <row r="946" spans="1:10" thickTop="1" thickBot="1" x14ac:dyDescent="0.6">
      <c r="A946" s="26">
        <v>25</v>
      </c>
      <c r="B946" s="43">
        <v>1151528</v>
      </c>
      <c r="C946" s="6" t="s">
        <v>3139</v>
      </c>
      <c r="D946" s="25" t="s">
        <v>2376</v>
      </c>
      <c r="E946" s="111" t="s">
        <v>3140</v>
      </c>
      <c r="F946" s="4">
        <v>588676</v>
      </c>
      <c r="G946" s="26">
        <v>1</v>
      </c>
      <c r="H946" s="7">
        <v>45818</v>
      </c>
      <c r="J946" s="48" t="s">
        <v>3141</v>
      </c>
    </row>
    <row r="947" spans="1:10" thickTop="1" thickBot="1" x14ac:dyDescent="0.6">
      <c r="A947" s="26">
        <v>26</v>
      </c>
      <c r="B947" s="43">
        <v>1150559</v>
      </c>
      <c r="C947" s="6" t="s">
        <v>2391</v>
      </c>
      <c r="D947" s="25" t="s">
        <v>2376</v>
      </c>
      <c r="E947" s="111" t="s">
        <v>2392</v>
      </c>
      <c r="F947" s="4">
        <v>112170</v>
      </c>
      <c r="G947" s="26">
        <v>1</v>
      </c>
      <c r="H947" s="7">
        <v>45281</v>
      </c>
      <c r="J947" s="48" t="s">
        <v>2393</v>
      </c>
    </row>
    <row r="948" spans="1:10" thickTop="1" thickBot="1" x14ac:dyDescent="0.6">
      <c r="A948" s="26">
        <v>27</v>
      </c>
      <c r="D948" s="25" t="s">
        <v>2376</v>
      </c>
      <c r="J948" s="48"/>
    </row>
    <row r="949" spans="1:10" thickTop="1" thickBot="1" x14ac:dyDescent="0.6">
      <c r="A949" s="26">
        <v>28</v>
      </c>
      <c r="B949" s="43">
        <v>1150286</v>
      </c>
      <c r="C949" s="6" t="s">
        <v>2394</v>
      </c>
      <c r="D949" s="25" t="s">
        <v>2376</v>
      </c>
      <c r="E949" s="111">
        <v>773314324</v>
      </c>
      <c r="F949" s="4">
        <v>234554</v>
      </c>
      <c r="G949" s="26">
        <v>1</v>
      </c>
      <c r="J949" s="5" t="s">
        <v>2395</v>
      </c>
    </row>
    <row r="950" spans="1:10" thickTop="1" thickBot="1" x14ac:dyDescent="0.6">
      <c r="A950" s="26">
        <v>29</v>
      </c>
      <c r="C950" s="6" t="s">
        <v>2396</v>
      </c>
      <c r="D950" s="25" t="s">
        <v>2376</v>
      </c>
      <c r="G950" s="26">
        <v>1</v>
      </c>
      <c r="J950" s="48"/>
    </row>
    <row r="951" spans="1:10" thickTop="1" thickBot="1" x14ac:dyDescent="0.6">
      <c r="A951" s="26">
        <v>30</v>
      </c>
      <c r="B951" s="43">
        <v>1150506</v>
      </c>
      <c r="C951" s="6" t="s">
        <v>2397</v>
      </c>
      <c r="D951" s="25" t="s">
        <v>2376</v>
      </c>
      <c r="E951" s="111" t="s">
        <v>2398</v>
      </c>
      <c r="F951" s="4">
        <v>143829</v>
      </c>
      <c r="G951" s="26">
        <v>1</v>
      </c>
      <c r="I951" s="7">
        <v>45205</v>
      </c>
      <c r="J951" s="48" t="s">
        <v>2399</v>
      </c>
    </row>
    <row r="952" spans="1:10" thickTop="1" thickBot="1" x14ac:dyDescent="0.6">
      <c r="A952" s="26">
        <v>31</v>
      </c>
      <c r="D952" s="25" t="s">
        <v>2376</v>
      </c>
      <c r="J952" s="48"/>
    </row>
    <row r="953" spans="1:10" thickTop="1" thickBot="1" x14ac:dyDescent="0.6">
      <c r="A953" s="26">
        <v>32</v>
      </c>
      <c r="B953" s="43">
        <v>1150399</v>
      </c>
      <c r="C953" s="6" t="s">
        <v>2400</v>
      </c>
      <c r="D953" s="25" t="s">
        <v>2376</v>
      </c>
      <c r="E953" s="111">
        <v>515770266</v>
      </c>
      <c r="F953" s="4">
        <v>682877</v>
      </c>
      <c r="G953" s="26">
        <v>1</v>
      </c>
      <c r="H953" s="7">
        <v>45579</v>
      </c>
      <c r="J953" s="5" t="s">
        <v>2401</v>
      </c>
    </row>
    <row r="954" spans="1:10" thickTop="1" thickBot="1" x14ac:dyDescent="0.6">
      <c r="A954" s="26">
        <v>33</v>
      </c>
      <c r="D954" s="25" t="s">
        <v>2376</v>
      </c>
      <c r="J954" s="48"/>
    </row>
    <row r="955" spans="1:10" thickTop="1" thickBot="1" x14ac:dyDescent="0.6">
      <c r="A955" s="26">
        <v>34</v>
      </c>
      <c r="B955" s="43">
        <v>1151314</v>
      </c>
      <c r="C955" s="6" t="s">
        <v>2402</v>
      </c>
      <c r="D955" s="25" t="s">
        <v>2376</v>
      </c>
      <c r="E955" s="111" t="s">
        <v>2403</v>
      </c>
      <c r="F955" s="4">
        <v>373533</v>
      </c>
      <c r="G955" s="26">
        <v>1</v>
      </c>
      <c r="H955" s="7">
        <v>45622</v>
      </c>
      <c r="J955" s="48" t="s">
        <v>2404</v>
      </c>
    </row>
    <row r="956" spans="1:10" thickTop="1" thickBot="1" x14ac:dyDescent="0.6">
      <c r="A956" s="26">
        <v>35</v>
      </c>
      <c r="D956" s="25" t="s">
        <v>2376</v>
      </c>
      <c r="J956" s="48"/>
    </row>
    <row r="957" spans="1:10" thickTop="1" thickBot="1" x14ac:dyDescent="0.6">
      <c r="A957" s="26">
        <v>36</v>
      </c>
      <c r="B957" s="43">
        <v>1151260</v>
      </c>
      <c r="C957" s="6" t="s">
        <v>2405</v>
      </c>
      <c r="D957" s="25" t="s">
        <v>2376</v>
      </c>
      <c r="E957" s="111">
        <v>766647602</v>
      </c>
      <c r="F957" s="4">
        <v>391063</v>
      </c>
      <c r="G957" s="26">
        <v>1</v>
      </c>
      <c r="H957" s="7">
        <v>45609</v>
      </c>
      <c r="J957" s="48" t="s">
        <v>2406</v>
      </c>
    </row>
    <row r="958" spans="1:10" thickTop="1" thickBot="1" x14ac:dyDescent="0.6">
      <c r="A958" s="26">
        <v>37</v>
      </c>
      <c r="B958" s="43">
        <v>1150228</v>
      </c>
      <c r="C958" s="6" t="s">
        <v>2407</v>
      </c>
      <c r="D958" s="25" t="s">
        <v>2376</v>
      </c>
      <c r="E958" s="111">
        <v>767328181</v>
      </c>
      <c r="F958" s="4">
        <v>700258</v>
      </c>
      <c r="G958" s="26">
        <v>1</v>
      </c>
      <c r="J958" s="5" t="s">
        <v>2408</v>
      </c>
    </row>
    <row r="959" spans="1:10" thickTop="1" thickBot="1" x14ac:dyDescent="0.6">
      <c r="A959" s="26">
        <v>38</v>
      </c>
      <c r="D959" s="25" t="s">
        <v>2376</v>
      </c>
      <c r="J959" s="48"/>
    </row>
    <row r="960" spans="1:10" thickTop="1" thickBot="1" x14ac:dyDescent="0.6">
      <c r="A960" s="26">
        <v>39</v>
      </c>
      <c r="B960" s="43">
        <v>1150995</v>
      </c>
      <c r="C960" s="6" t="s">
        <v>2409</v>
      </c>
      <c r="D960" s="25" t="s">
        <v>2376</v>
      </c>
      <c r="E960" s="111">
        <v>760364155</v>
      </c>
      <c r="F960" s="4">
        <v>275506</v>
      </c>
      <c r="G960" s="26">
        <v>1</v>
      </c>
      <c r="H960" s="7">
        <v>45591</v>
      </c>
      <c r="J960" s="48" t="s">
        <v>2410</v>
      </c>
    </row>
    <row r="961" spans="1:10" thickTop="1" thickBot="1" x14ac:dyDescent="0.6">
      <c r="A961" s="26">
        <v>40</v>
      </c>
      <c r="D961" s="25" t="s">
        <v>2376</v>
      </c>
      <c r="J961" s="48"/>
    </row>
    <row r="962" spans="1:10" thickTop="1" thickBot="1" x14ac:dyDescent="0.6">
      <c r="A962" s="26">
        <v>41</v>
      </c>
      <c r="B962" s="43">
        <v>1150378</v>
      </c>
      <c r="C962" s="6" t="s">
        <v>2411</v>
      </c>
      <c r="D962" s="25" t="s">
        <v>2376</v>
      </c>
      <c r="E962" s="111" t="s">
        <v>2412</v>
      </c>
      <c r="F962" s="4">
        <v>227616</v>
      </c>
      <c r="G962" s="26">
        <v>1</v>
      </c>
      <c r="J962" s="5" t="s">
        <v>2413</v>
      </c>
    </row>
    <row r="963" spans="1:10" thickTop="1" thickBot="1" x14ac:dyDescent="0.6">
      <c r="A963" s="26">
        <v>42</v>
      </c>
      <c r="B963" s="43">
        <v>1151187</v>
      </c>
      <c r="C963" s="6" t="s">
        <v>2414</v>
      </c>
      <c r="D963" s="25" t="s">
        <v>2376</v>
      </c>
      <c r="E963" s="111">
        <v>765557157</v>
      </c>
      <c r="F963" s="4">
        <v>296239</v>
      </c>
      <c r="G963" s="26">
        <v>1</v>
      </c>
      <c r="H963" s="7">
        <v>45606</v>
      </c>
      <c r="J963" s="48">
        <v>197054203466</v>
      </c>
    </row>
    <row r="964" spans="1:10" thickTop="1" thickBot="1" x14ac:dyDescent="0.6">
      <c r="A964" s="26">
        <v>43</v>
      </c>
      <c r="B964" s="43">
        <v>1151259</v>
      </c>
      <c r="C964" s="6" t="s">
        <v>2415</v>
      </c>
      <c r="D964" s="25" t="s">
        <v>2376</v>
      </c>
      <c r="E964" s="111">
        <v>761631192</v>
      </c>
      <c r="F964" s="4">
        <v>266943</v>
      </c>
      <c r="G964" s="26">
        <v>1</v>
      </c>
      <c r="H964" s="7">
        <v>45609</v>
      </c>
      <c r="J964" s="48" t="s">
        <v>2416</v>
      </c>
    </row>
    <row r="965" spans="1:10" thickTop="1" thickBot="1" x14ac:dyDescent="0.6">
      <c r="A965" s="26">
        <v>44</v>
      </c>
      <c r="B965" s="43">
        <v>1151252</v>
      </c>
      <c r="C965" s="6" t="s">
        <v>2417</v>
      </c>
      <c r="D965" s="25" t="s">
        <v>2376</v>
      </c>
      <c r="E965" s="111">
        <v>761018633</v>
      </c>
      <c r="F965" s="4">
        <v>390644</v>
      </c>
      <c r="G965" s="26">
        <v>1</v>
      </c>
      <c r="H965" s="7">
        <v>45609</v>
      </c>
      <c r="J965" s="48">
        <v>197135202732</v>
      </c>
    </row>
    <row r="966" spans="1:10" thickTop="1" thickBot="1" x14ac:dyDescent="0.6">
      <c r="A966" s="26">
        <v>45</v>
      </c>
      <c r="D966" s="25" t="s">
        <v>2376</v>
      </c>
      <c r="J966" s="48"/>
    </row>
    <row r="967" spans="1:10" thickTop="1" thickBot="1" x14ac:dyDescent="0.6">
      <c r="A967" s="26">
        <v>46</v>
      </c>
      <c r="B967" s="43">
        <v>1150548</v>
      </c>
      <c r="C967" s="6" t="s">
        <v>2418</v>
      </c>
      <c r="D967" s="25" t="s">
        <v>2376</v>
      </c>
      <c r="E967" s="111" t="s">
        <v>2419</v>
      </c>
      <c r="F967" s="4" t="str">
        <f>"0"&amp;93628</f>
        <v>093628</v>
      </c>
      <c r="G967" s="26">
        <v>1</v>
      </c>
      <c r="H967" s="7">
        <v>45514</v>
      </c>
      <c r="J967" s="48" t="s">
        <v>2420</v>
      </c>
    </row>
    <row r="968" spans="1:10" thickTop="1" thickBot="1" x14ac:dyDescent="0.6">
      <c r="A968" s="26">
        <v>47</v>
      </c>
      <c r="B968" s="43">
        <v>1151353</v>
      </c>
      <c r="C968" s="6" t="s">
        <v>3029</v>
      </c>
      <c r="D968" s="25" t="s">
        <v>2376</v>
      </c>
      <c r="F968" s="4">
        <v>634769</v>
      </c>
      <c r="G968" s="26">
        <v>1</v>
      </c>
      <c r="H968" s="7">
        <v>45685</v>
      </c>
      <c r="J968" s="48" t="s">
        <v>3030</v>
      </c>
    </row>
    <row r="969" spans="1:10" thickTop="1" thickBot="1" x14ac:dyDescent="0.6">
      <c r="A969" s="26">
        <v>48</v>
      </c>
      <c r="D969" s="25" t="s">
        <v>2376</v>
      </c>
      <c r="J969" s="48"/>
    </row>
    <row r="970" spans="1:10" thickTop="1" thickBot="1" x14ac:dyDescent="0.6">
      <c r="A970" s="26">
        <v>49</v>
      </c>
      <c r="B970" s="43">
        <v>1151504</v>
      </c>
      <c r="C970" s="6" t="s">
        <v>3069</v>
      </c>
      <c r="D970" s="25" t="s">
        <v>2376</v>
      </c>
      <c r="E970" s="111" t="s">
        <v>3070</v>
      </c>
      <c r="F970" s="4">
        <v>548787</v>
      </c>
      <c r="G970" s="26">
        <v>1</v>
      </c>
      <c r="H970" s="7">
        <v>45788</v>
      </c>
      <c r="J970" s="48" t="s">
        <v>3071</v>
      </c>
    </row>
    <row r="971" spans="1:10" thickTop="1" thickBot="1" x14ac:dyDescent="0.6">
      <c r="A971" s="26">
        <v>50</v>
      </c>
      <c r="D971" s="25" t="s">
        <v>2376</v>
      </c>
      <c r="J971" s="48"/>
    </row>
    <row r="972" spans="1:10" thickTop="1" thickBot="1" x14ac:dyDescent="0.6">
      <c r="A972" s="26">
        <v>51</v>
      </c>
      <c r="B972" s="43">
        <v>1151402</v>
      </c>
      <c r="C972" s="6" t="s">
        <v>2769</v>
      </c>
      <c r="D972" s="25" t="s">
        <v>2376</v>
      </c>
      <c r="E972" s="111">
        <v>772781928</v>
      </c>
      <c r="F972" s="4">
        <v>409626</v>
      </c>
      <c r="G972" s="26">
        <v>1</v>
      </c>
      <c r="H972" s="7">
        <v>45802</v>
      </c>
      <c r="J972" s="48" t="s">
        <v>2770</v>
      </c>
    </row>
    <row r="973" spans="1:10" thickTop="1" thickBot="1" x14ac:dyDescent="0.6">
      <c r="A973" s="26">
        <v>52</v>
      </c>
      <c r="D973" s="25" t="s">
        <v>2376</v>
      </c>
      <c r="J973" s="48"/>
    </row>
    <row r="974" spans="1:10" thickTop="1" thickBot="1" x14ac:dyDescent="0.6">
      <c r="A974" s="26">
        <v>53</v>
      </c>
      <c r="D974" s="25" t="s">
        <v>2376</v>
      </c>
      <c r="J974" s="48"/>
    </row>
    <row r="975" spans="1:10" thickTop="1" thickBot="1" x14ac:dyDescent="0.6">
      <c r="A975" s="26">
        <v>54</v>
      </c>
      <c r="D975" s="25" t="s">
        <v>2376</v>
      </c>
      <c r="J975" s="48"/>
    </row>
    <row r="976" spans="1:10" thickTop="1" thickBot="1" x14ac:dyDescent="0.6">
      <c r="A976" s="26">
        <v>55</v>
      </c>
      <c r="D976" s="25" t="s">
        <v>2376</v>
      </c>
      <c r="J976" s="48"/>
    </row>
    <row r="977" spans="1:10" thickTop="1" thickBot="1" x14ac:dyDescent="0.6">
      <c r="A977" s="26">
        <v>56</v>
      </c>
      <c r="D977" s="25" t="s">
        <v>2376</v>
      </c>
      <c r="J977" s="48"/>
    </row>
    <row r="978" spans="1:10" thickTop="1" thickBot="1" x14ac:dyDescent="0.6">
      <c r="A978" s="26">
        <v>57</v>
      </c>
      <c r="D978" s="25" t="s">
        <v>2376</v>
      </c>
      <c r="J978" s="48"/>
    </row>
    <row r="979" spans="1:10" thickTop="1" thickBot="1" x14ac:dyDescent="0.6">
      <c r="A979" s="26">
        <v>58</v>
      </c>
      <c r="B979" s="43">
        <v>1150141</v>
      </c>
      <c r="C979" s="6" t="s">
        <v>2421</v>
      </c>
      <c r="D979" s="25" t="s">
        <v>2376</v>
      </c>
      <c r="F979" s="4">
        <v>662267</v>
      </c>
      <c r="G979" s="26">
        <v>1</v>
      </c>
      <c r="H979" s="7">
        <v>45586</v>
      </c>
      <c r="J979" s="48"/>
    </row>
    <row r="980" spans="1:10" thickTop="1" thickBot="1" x14ac:dyDescent="0.6">
      <c r="A980" s="26">
        <v>59</v>
      </c>
      <c r="B980" s="43">
        <v>1150376</v>
      </c>
      <c r="C980" s="6" t="s">
        <v>2422</v>
      </c>
      <c r="D980" s="25" t="s">
        <v>2376</v>
      </c>
      <c r="E980" s="111">
        <v>777542839</v>
      </c>
      <c r="F980" s="4">
        <v>239538</v>
      </c>
      <c r="G980" s="26">
        <v>1</v>
      </c>
      <c r="J980" s="5" t="s">
        <v>2423</v>
      </c>
    </row>
    <row r="981" spans="1:10" thickTop="1" thickBot="1" x14ac:dyDescent="0.6">
      <c r="A981" s="26">
        <v>60</v>
      </c>
      <c r="D981" s="25" t="s">
        <v>2376</v>
      </c>
      <c r="J981" s="48"/>
    </row>
    <row r="982" spans="1:10" thickTop="1" thickBot="1" x14ac:dyDescent="0.6">
      <c r="A982" s="26">
        <v>61</v>
      </c>
      <c r="D982" s="25" t="s">
        <v>2376</v>
      </c>
      <c r="J982" s="48"/>
    </row>
    <row r="983" spans="1:10" thickTop="1" thickBot="1" x14ac:dyDescent="0.6">
      <c r="A983" s="26">
        <v>62</v>
      </c>
      <c r="B983" s="43">
        <v>1150827</v>
      </c>
      <c r="C983" s="6" t="s">
        <v>2424</v>
      </c>
      <c r="D983" s="25" t="s">
        <v>2376</v>
      </c>
      <c r="E983" s="111" t="s">
        <v>2425</v>
      </c>
      <c r="F983" s="4">
        <v>148240</v>
      </c>
      <c r="G983" s="26">
        <v>1</v>
      </c>
      <c r="H983" s="7">
        <v>45543</v>
      </c>
      <c r="J983" s="48" t="s">
        <v>2426</v>
      </c>
    </row>
    <row r="984" spans="1:10" thickTop="1" thickBot="1" x14ac:dyDescent="0.6">
      <c r="A984" s="26">
        <v>63</v>
      </c>
      <c r="D984" s="25" t="s">
        <v>2376</v>
      </c>
      <c r="J984" s="48"/>
    </row>
    <row r="985" spans="1:10" thickTop="1" thickBot="1" x14ac:dyDescent="0.6">
      <c r="A985" s="26">
        <v>64</v>
      </c>
      <c r="D985" s="25" t="s">
        <v>2376</v>
      </c>
      <c r="J985" s="48"/>
    </row>
    <row r="986" spans="1:10" thickTop="1" thickBot="1" x14ac:dyDescent="0.6">
      <c r="A986" s="26">
        <v>65</v>
      </c>
      <c r="D986" s="25" t="s">
        <v>2376</v>
      </c>
      <c r="J986" s="48"/>
    </row>
    <row r="987" spans="1:10" thickTop="1" thickBot="1" x14ac:dyDescent="0.6">
      <c r="A987" s="26">
        <v>66</v>
      </c>
      <c r="B987" s="43">
        <v>1151186</v>
      </c>
      <c r="C987" s="6" t="s">
        <v>2427</v>
      </c>
      <c r="D987" s="25" t="s">
        <v>2376</v>
      </c>
      <c r="E987" s="111">
        <v>768400301</v>
      </c>
      <c r="F987" s="4">
        <v>403595</v>
      </c>
      <c r="G987" s="26">
        <v>1</v>
      </c>
      <c r="H987" s="7">
        <v>45606</v>
      </c>
      <c r="J987" s="48" t="s">
        <v>2428</v>
      </c>
    </row>
    <row r="988" spans="1:10" thickTop="1" thickBot="1" x14ac:dyDescent="0.6">
      <c r="A988" s="26">
        <v>67</v>
      </c>
      <c r="D988" s="25" t="s">
        <v>2376</v>
      </c>
      <c r="J988" s="48"/>
    </row>
    <row r="989" spans="1:10" thickTop="1" thickBot="1" x14ac:dyDescent="0.6">
      <c r="A989" s="26">
        <v>68</v>
      </c>
      <c r="B989" s="43">
        <v>1151184</v>
      </c>
      <c r="C989" s="6" t="s">
        <v>2156</v>
      </c>
      <c r="D989" s="25" t="s">
        <v>2376</v>
      </c>
      <c r="E989" s="111">
        <v>701881866</v>
      </c>
      <c r="F989" s="4">
        <v>245947</v>
      </c>
      <c r="G989" s="26">
        <v>1</v>
      </c>
      <c r="H989" s="7">
        <v>45606</v>
      </c>
      <c r="J989" s="48"/>
    </row>
    <row r="990" spans="1:10" thickTop="1" thickBot="1" x14ac:dyDescent="0.6">
      <c r="A990" s="26">
        <v>69</v>
      </c>
      <c r="D990" s="25" t="s">
        <v>2376</v>
      </c>
      <c r="J990" s="48"/>
    </row>
    <row r="991" spans="1:10" thickTop="1" thickBot="1" x14ac:dyDescent="0.6">
      <c r="A991" s="26">
        <v>70</v>
      </c>
      <c r="D991" s="25" t="s">
        <v>2376</v>
      </c>
      <c r="J991" s="48"/>
    </row>
    <row r="992" spans="1:10" thickTop="1" thickBot="1" x14ac:dyDescent="0.6">
      <c r="A992" s="26">
        <v>71</v>
      </c>
      <c r="B992" s="43">
        <v>1151168</v>
      </c>
      <c r="C992" s="6" t="s">
        <v>2429</v>
      </c>
      <c r="D992" s="25" t="s">
        <v>2376</v>
      </c>
      <c r="E992" s="111">
        <v>716427659</v>
      </c>
      <c r="F992" s="4">
        <v>289309</v>
      </c>
      <c r="G992" s="26">
        <v>1</v>
      </c>
      <c r="H992" s="7">
        <v>45605</v>
      </c>
      <c r="J992" s="48" t="s">
        <v>2430</v>
      </c>
    </row>
    <row r="993" spans="1:10" thickTop="1" thickBot="1" x14ac:dyDescent="0.6">
      <c r="A993" s="26">
        <v>72</v>
      </c>
      <c r="B993" s="43">
        <v>1150941</v>
      </c>
      <c r="C993" s="6" t="s">
        <v>2431</v>
      </c>
      <c r="D993" s="25" t="s">
        <v>2376</v>
      </c>
      <c r="E993" s="111">
        <v>769190818</v>
      </c>
      <c r="F993" s="4">
        <v>403785</v>
      </c>
      <c r="G993" s="26">
        <v>1</v>
      </c>
      <c r="H993" s="7">
        <v>45581</v>
      </c>
      <c r="J993" s="48" t="s">
        <v>2432</v>
      </c>
    </row>
    <row r="994" spans="1:10" thickTop="1" thickBot="1" x14ac:dyDescent="0.6">
      <c r="A994" s="26">
        <v>73</v>
      </c>
      <c r="B994" s="43">
        <v>1151229</v>
      </c>
      <c r="C994" s="6" t="s">
        <v>2433</v>
      </c>
      <c r="D994" s="25" t="s">
        <v>2376</v>
      </c>
      <c r="E994" s="111">
        <v>702045366</v>
      </c>
      <c r="F994" s="4">
        <v>441561</v>
      </c>
      <c r="G994" s="26">
        <v>1</v>
      </c>
      <c r="H994" s="7">
        <v>45609</v>
      </c>
      <c r="J994" s="48" t="s">
        <v>2434</v>
      </c>
    </row>
    <row r="995" spans="1:10" thickTop="1" thickBot="1" x14ac:dyDescent="0.6">
      <c r="A995" s="26">
        <v>74</v>
      </c>
      <c r="B995" s="43">
        <v>1151185</v>
      </c>
      <c r="C995" s="6" t="s">
        <v>2435</v>
      </c>
      <c r="D995" s="25" t="s">
        <v>2376</v>
      </c>
      <c r="E995" s="111">
        <v>779202662</v>
      </c>
      <c r="F995" s="4">
        <v>386022</v>
      </c>
      <c r="G995" s="26">
        <v>1</v>
      </c>
      <c r="H995" s="7">
        <v>45606</v>
      </c>
      <c r="J995" s="48" t="s">
        <v>2436</v>
      </c>
    </row>
    <row r="996" spans="1:10" thickTop="1" thickBot="1" x14ac:dyDescent="0.6">
      <c r="A996" s="26">
        <v>75</v>
      </c>
      <c r="B996" s="43">
        <v>1150333</v>
      </c>
      <c r="C996" s="6" t="s">
        <v>2437</v>
      </c>
      <c r="D996" s="25" t="s">
        <v>2376</v>
      </c>
      <c r="E996" s="111">
        <v>760372764</v>
      </c>
      <c r="F996" s="4">
        <v>350947</v>
      </c>
      <c r="G996" s="26">
        <v>1</v>
      </c>
      <c r="J996" s="5" t="s">
        <v>2438</v>
      </c>
    </row>
    <row r="997" spans="1:10" thickTop="1" thickBot="1" x14ac:dyDescent="0.6">
      <c r="A997" s="26">
        <v>76</v>
      </c>
      <c r="B997" s="43">
        <v>1150916</v>
      </c>
      <c r="C997" s="6" t="s">
        <v>2439</v>
      </c>
      <c r="D997" s="25" t="s">
        <v>2376</v>
      </c>
      <c r="F997" s="4" t="str">
        <f>"0"&amp;97090</f>
        <v>097090</v>
      </c>
      <c r="G997" s="26">
        <v>1</v>
      </c>
      <c r="H997" s="7">
        <v>45577</v>
      </c>
      <c r="J997" s="48"/>
    </row>
    <row r="998" spans="1:10" thickTop="1" thickBot="1" x14ac:dyDescent="0.6">
      <c r="A998" s="26">
        <v>77</v>
      </c>
      <c r="B998" s="43">
        <v>1150949</v>
      </c>
      <c r="C998" s="6" t="s">
        <v>2440</v>
      </c>
      <c r="D998" s="25" t="s">
        <v>2376</v>
      </c>
      <c r="E998" s="111">
        <v>763414499</v>
      </c>
      <c r="F998" s="4">
        <v>245988</v>
      </c>
      <c r="G998" s="26">
        <v>1</v>
      </c>
      <c r="H998" s="7">
        <v>45582</v>
      </c>
      <c r="J998" s="48"/>
    </row>
    <row r="999" spans="1:10" thickTop="1" thickBot="1" x14ac:dyDescent="0.6">
      <c r="A999" s="26">
        <v>78</v>
      </c>
      <c r="B999" s="43">
        <v>1150296</v>
      </c>
      <c r="C999" s="6" t="s">
        <v>2441</v>
      </c>
      <c r="D999" s="25" t="s">
        <v>2376</v>
      </c>
      <c r="E999" s="111">
        <v>77104477</v>
      </c>
      <c r="F999" s="4">
        <v>605100</v>
      </c>
      <c r="G999" s="26">
        <v>1</v>
      </c>
      <c r="J999" s="5" t="s">
        <v>2442</v>
      </c>
    </row>
    <row r="1000" spans="1:10" thickTop="1" thickBot="1" x14ac:dyDescent="0.6">
      <c r="A1000" s="26">
        <v>79</v>
      </c>
      <c r="D1000" s="25" t="s">
        <v>2376</v>
      </c>
      <c r="J1000" s="48"/>
    </row>
    <row r="1001" spans="1:10" thickTop="1" thickBot="1" x14ac:dyDescent="0.6">
      <c r="A1001" s="26">
        <v>80</v>
      </c>
      <c r="B1001" s="43">
        <v>1150550</v>
      </c>
      <c r="C1001" s="6" t="s">
        <v>1268</v>
      </c>
      <c r="D1001" s="25" t="s">
        <v>2376</v>
      </c>
      <c r="E1001" s="111">
        <v>761673772</v>
      </c>
      <c r="F1001" s="4" t="s">
        <v>2443</v>
      </c>
      <c r="G1001" s="26">
        <v>1</v>
      </c>
      <c r="I1001" s="7">
        <v>45273</v>
      </c>
      <c r="J1001" s="4">
        <v>200014504086</v>
      </c>
    </row>
    <row r="1002" spans="1:10" thickTop="1" thickBot="1" x14ac:dyDescent="0.6">
      <c r="A1002" s="26">
        <v>81</v>
      </c>
      <c r="B1002" s="43">
        <v>1151162</v>
      </c>
      <c r="C1002" s="6" t="s">
        <v>2444</v>
      </c>
      <c r="D1002" s="25" t="s">
        <v>2376</v>
      </c>
      <c r="E1002" s="111">
        <v>760418441</v>
      </c>
      <c r="F1002" s="4">
        <v>442601</v>
      </c>
      <c r="G1002" s="26">
        <v>1</v>
      </c>
      <c r="H1002" s="7">
        <v>45605</v>
      </c>
      <c r="J1002" s="48">
        <v>20022201715</v>
      </c>
    </row>
    <row r="1003" spans="1:10" thickTop="1" thickBot="1" x14ac:dyDescent="0.6">
      <c r="A1003" s="26">
        <v>82</v>
      </c>
      <c r="B1003" s="43">
        <v>1150917</v>
      </c>
      <c r="C1003" s="6" t="s">
        <v>2445</v>
      </c>
      <c r="D1003" s="25" t="s">
        <v>2376</v>
      </c>
      <c r="E1003" s="111">
        <v>768843257</v>
      </c>
      <c r="F1003" s="4">
        <v>150303</v>
      </c>
      <c r="G1003" s="26">
        <v>1</v>
      </c>
      <c r="H1003" s="7">
        <v>45577</v>
      </c>
      <c r="J1003" s="48" t="s">
        <v>2446</v>
      </c>
    </row>
    <row r="1004" spans="1:10" thickTop="1" thickBot="1" x14ac:dyDescent="0.6">
      <c r="A1004" s="26">
        <v>83</v>
      </c>
      <c r="D1004" s="25" t="s">
        <v>2376</v>
      </c>
      <c r="J1004" s="48"/>
    </row>
    <row r="1005" spans="1:10" thickTop="1" thickBot="1" x14ac:dyDescent="0.6">
      <c r="A1005" s="26">
        <v>84</v>
      </c>
      <c r="D1005" s="25" t="s">
        <v>2376</v>
      </c>
      <c r="I1005" s="7"/>
      <c r="J1005" s="48"/>
    </row>
    <row r="1006" spans="1:10" thickTop="1" thickBot="1" x14ac:dyDescent="0.6">
      <c r="A1006" s="26">
        <v>85</v>
      </c>
      <c r="B1006" s="43">
        <v>1150299</v>
      </c>
      <c r="C1006" s="6" t="s">
        <v>1805</v>
      </c>
      <c r="D1006" s="25" t="s">
        <v>2376</v>
      </c>
      <c r="E1006" s="111" t="s">
        <v>2447</v>
      </c>
      <c r="F1006" s="4">
        <v>144264</v>
      </c>
      <c r="G1006" s="26">
        <v>1</v>
      </c>
      <c r="H1006" s="7">
        <v>45506</v>
      </c>
      <c r="J1006" s="48" t="s">
        <v>2448</v>
      </c>
    </row>
    <row r="1007" spans="1:10" thickTop="1" thickBot="1" x14ac:dyDescent="0.6">
      <c r="A1007" s="26">
        <v>86</v>
      </c>
      <c r="D1007" s="25" t="s">
        <v>2376</v>
      </c>
      <c r="J1007" s="48"/>
    </row>
    <row r="1008" spans="1:10" thickTop="1" thickBot="1" x14ac:dyDescent="0.6">
      <c r="A1008" s="26">
        <v>87</v>
      </c>
      <c r="B1008" s="43">
        <v>1150338</v>
      </c>
      <c r="C1008" s="6" t="s">
        <v>2449</v>
      </c>
      <c r="D1008" s="25" t="s">
        <v>2376</v>
      </c>
      <c r="E1008" s="111">
        <v>724195006</v>
      </c>
      <c r="F1008" s="4">
        <v>106602</v>
      </c>
      <c r="G1008" s="26">
        <v>1</v>
      </c>
      <c r="H1008" s="7">
        <v>45514</v>
      </c>
      <c r="J1008" s="48" t="s">
        <v>2450</v>
      </c>
    </row>
    <row r="1009" spans="1:10" thickTop="1" thickBot="1" x14ac:dyDescent="0.6">
      <c r="A1009" s="26">
        <v>88</v>
      </c>
      <c r="B1009" s="43">
        <v>1150966</v>
      </c>
      <c r="C1009" s="6" t="s">
        <v>2451</v>
      </c>
      <c r="D1009" s="25" t="s">
        <v>2376</v>
      </c>
      <c r="E1009" s="111">
        <v>778019005</v>
      </c>
      <c r="F1009" s="4">
        <v>198609</v>
      </c>
      <c r="G1009" s="26">
        <v>1</v>
      </c>
      <c r="H1009" s="7">
        <v>45586</v>
      </c>
      <c r="J1009" s="48"/>
    </row>
    <row r="1010" spans="1:10" thickTop="1" thickBot="1" x14ac:dyDescent="0.6">
      <c r="A1010" s="26">
        <v>89</v>
      </c>
      <c r="B1010" s="43">
        <v>1150918</v>
      </c>
      <c r="C1010" s="6" t="s">
        <v>1762</v>
      </c>
      <c r="D1010" s="25" t="s">
        <v>2376</v>
      </c>
      <c r="E1010" s="111">
        <v>779916109</v>
      </c>
      <c r="F1010" s="4">
        <v>156847</v>
      </c>
      <c r="G1010" s="26">
        <v>1</v>
      </c>
      <c r="H1010" s="7">
        <v>45577</v>
      </c>
      <c r="J1010" s="48"/>
    </row>
    <row r="1011" spans="1:10" thickTop="1" thickBot="1" x14ac:dyDescent="0.6">
      <c r="A1011" s="26">
        <v>90</v>
      </c>
      <c r="B1011" s="43">
        <v>1150374</v>
      </c>
      <c r="C1011" s="6" t="s">
        <v>2452</v>
      </c>
      <c r="D1011" s="25" t="s">
        <v>2376</v>
      </c>
      <c r="E1011" s="111">
        <v>771277265</v>
      </c>
      <c r="F1011" s="4">
        <v>9.0600000000000001E-4</v>
      </c>
      <c r="G1011" s="26">
        <v>1</v>
      </c>
      <c r="H1011" s="7">
        <v>45586</v>
      </c>
      <c r="J1011" s="48"/>
    </row>
    <row r="1012" spans="1:10" thickTop="1" thickBot="1" x14ac:dyDescent="0.6">
      <c r="A1012" s="26">
        <v>91</v>
      </c>
      <c r="D1012" s="25" t="s">
        <v>2376</v>
      </c>
      <c r="J1012" s="48"/>
    </row>
    <row r="1013" spans="1:10" thickTop="1" thickBot="1" x14ac:dyDescent="0.6">
      <c r="A1013" s="26">
        <v>92</v>
      </c>
      <c r="D1013" s="25" t="s">
        <v>2376</v>
      </c>
      <c r="J1013" s="48"/>
    </row>
    <row r="1014" spans="1:10" thickTop="1" thickBot="1" x14ac:dyDescent="0.6">
      <c r="A1014" s="26">
        <v>93</v>
      </c>
      <c r="B1014" s="43">
        <v>1150267</v>
      </c>
      <c r="C1014" s="6" t="s">
        <v>2453</v>
      </c>
      <c r="D1014" s="25" t="s">
        <v>2376</v>
      </c>
      <c r="E1014" s="111">
        <v>774317125</v>
      </c>
      <c r="F1014" s="4">
        <v>649561</v>
      </c>
      <c r="G1014" s="26">
        <v>1</v>
      </c>
      <c r="J1014" s="5" t="s">
        <v>2454</v>
      </c>
    </row>
    <row r="1015" spans="1:10" thickTop="1" thickBot="1" x14ac:dyDescent="0.6">
      <c r="A1015" s="26">
        <v>94</v>
      </c>
      <c r="B1015" s="43">
        <v>1150269</v>
      </c>
      <c r="C1015" s="6" t="s">
        <v>2455</v>
      </c>
      <c r="D1015" s="25" t="s">
        <v>2376</v>
      </c>
      <c r="E1015" s="111">
        <v>779511362</v>
      </c>
      <c r="F1015" s="4">
        <v>225313</v>
      </c>
      <c r="G1015" s="26">
        <v>1</v>
      </c>
      <c r="J1015" s="5" t="s">
        <v>2456</v>
      </c>
    </row>
    <row r="1016" spans="1:10" thickTop="1" thickBot="1" x14ac:dyDescent="0.6">
      <c r="A1016" s="26">
        <v>95</v>
      </c>
      <c r="B1016" s="43">
        <v>1151370</v>
      </c>
      <c r="C1016" s="6" t="s">
        <v>2707</v>
      </c>
      <c r="D1016" s="25" t="s">
        <v>2376</v>
      </c>
      <c r="E1016" s="111">
        <v>740646495</v>
      </c>
      <c r="F1016" s="4">
        <v>579402</v>
      </c>
      <c r="G1016" s="26">
        <v>1</v>
      </c>
      <c r="H1016" s="7">
        <v>45695</v>
      </c>
      <c r="J1016" s="48">
        <v>198160104352</v>
      </c>
    </row>
    <row r="1017" spans="1:10" thickTop="1" thickBot="1" x14ac:dyDescent="0.6">
      <c r="A1017" s="26">
        <v>96</v>
      </c>
      <c r="D1017" s="25" t="s">
        <v>2376</v>
      </c>
      <c r="J1017" s="48"/>
    </row>
    <row r="1018" spans="1:10" thickTop="1" thickBot="1" x14ac:dyDescent="0.6">
      <c r="A1018" s="26">
        <v>97</v>
      </c>
      <c r="B1018" s="43">
        <v>1150568</v>
      </c>
      <c r="C1018" s="6" t="s">
        <v>2457</v>
      </c>
      <c r="D1018" s="25" t="s">
        <v>2376</v>
      </c>
      <c r="F1018" s="4">
        <v>155724</v>
      </c>
      <c r="G1018" s="26">
        <v>1</v>
      </c>
      <c r="H1018" s="7">
        <v>45288</v>
      </c>
      <c r="J1018" s="48"/>
    </row>
    <row r="1019" spans="1:10" thickTop="1" thickBot="1" x14ac:dyDescent="0.6">
      <c r="A1019" s="26">
        <v>98</v>
      </c>
      <c r="D1019" s="25" t="s">
        <v>2376</v>
      </c>
      <c r="J1019" s="5"/>
    </row>
    <row r="1020" spans="1:10" thickTop="1" thickBot="1" x14ac:dyDescent="0.6">
      <c r="A1020" s="26">
        <v>99</v>
      </c>
      <c r="B1020" s="43">
        <v>1151278</v>
      </c>
      <c r="C1020" s="6" t="s">
        <v>2458</v>
      </c>
      <c r="D1020" s="25" t="s">
        <v>2376</v>
      </c>
      <c r="E1020" s="111">
        <v>770312460</v>
      </c>
      <c r="F1020" s="4">
        <v>416985</v>
      </c>
      <c r="G1020" s="26">
        <v>1</v>
      </c>
      <c r="H1020" s="7">
        <v>45610</v>
      </c>
      <c r="J1020" s="48"/>
    </row>
    <row r="1021" spans="1:10" thickTop="1" thickBot="1" x14ac:dyDescent="0.6">
      <c r="A1021" s="26">
        <v>100</v>
      </c>
      <c r="D1021" s="25" t="s">
        <v>2376</v>
      </c>
      <c r="J1021" s="5"/>
    </row>
    <row r="1022" spans="1:10" thickTop="1" thickBot="1" x14ac:dyDescent="0.6">
      <c r="A1022" s="26">
        <v>101</v>
      </c>
      <c r="D1022" s="25" t="s">
        <v>2376</v>
      </c>
      <c r="J1022" s="48"/>
    </row>
    <row r="1023" spans="1:10" thickTop="1" thickBot="1" x14ac:dyDescent="0.6">
      <c r="A1023" s="26">
        <v>102</v>
      </c>
      <c r="B1023" s="43">
        <v>1150326</v>
      </c>
      <c r="C1023" s="6" t="s">
        <v>2459</v>
      </c>
      <c r="D1023" s="25" t="s">
        <v>2376</v>
      </c>
      <c r="E1023" s="111">
        <v>771320359</v>
      </c>
      <c r="F1023" s="4">
        <v>282280</v>
      </c>
      <c r="G1023" s="26">
        <v>1</v>
      </c>
      <c r="J1023" s="5" t="s">
        <v>2460</v>
      </c>
    </row>
    <row r="1024" spans="1:10" thickTop="1" thickBot="1" x14ac:dyDescent="0.6">
      <c r="A1024" s="26">
        <v>103</v>
      </c>
      <c r="D1024" s="25" t="s">
        <v>2376</v>
      </c>
      <c r="H1024" s="7"/>
      <c r="J1024" s="48"/>
    </row>
    <row r="1025" spans="1:10" thickTop="1" thickBot="1" x14ac:dyDescent="0.6">
      <c r="A1025" s="26">
        <v>104</v>
      </c>
      <c r="B1025" s="43">
        <v>1150718</v>
      </c>
      <c r="C1025" s="6" t="s">
        <v>2461</v>
      </c>
      <c r="D1025" s="25" t="s">
        <v>2376</v>
      </c>
      <c r="E1025" s="111">
        <v>768451604</v>
      </c>
      <c r="F1025" s="4" t="str">
        <f>"0"&amp;93529</f>
        <v>093529</v>
      </c>
      <c r="G1025" s="26">
        <v>1</v>
      </c>
      <c r="H1025" s="7">
        <v>45481</v>
      </c>
      <c r="J1025" s="48" t="s">
        <v>2462</v>
      </c>
    </row>
    <row r="1026" spans="1:10" thickTop="1" thickBot="1" x14ac:dyDescent="0.6">
      <c r="A1026" s="26">
        <v>105</v>
      </c>
      <c r="B1026" s="43">
        <v>1151254</v>
      </c>
      <c r="C1026" s="6" t="s">
        <v>2463</v>
      </c>
      <c r="D1026" s="25" t="s">
        <v>2376</v>
      </c>
      <c r="E1026" s="111">
        <v>769374406</v>
      </c>
      <c r="F1026" s="4">
        <v>195209</v>
      </c>
      <c r="G1026" s="26">
        <v>1</v>
      </c>
      <c r="H1026" s="7">
        <v>45609</v>
      </c>
      <c r="J1026" s="48" t="s">
        <v>2464</v>
      </c>
    </row>
    <row r="1027" spans="1:10" thickTop="1" thickBot="1" x14ac:dyDescent="0.6">
      <c r="A1027" s="26">
        <v>106</v>
      </c>
      <c r="B1027" s="43">
        <v>1151384</v>
      </c>
      <c r="C1027" s="6" t="s">
        <v>2729</v>
      </c>
      <c r="D1027" s="25" t="s">
        <v>2376</v>
      </c>
      <c r="E1027" s="111">
        <v>767423049</v>
      </c>
      <c r="F1027" s="4">
        <v>619471</v>
      </c>
      <c r="G1027" s="26">
        <v>1</v>
      </c>
      <c r="H1027" s="7">
        <v>45703</v>
      </c>
      <c r="J1027" s="48" t="s">
        <v>2730</v>
      </c>
    </row>
    <row r="1028" spans="1:10" thickTop="1" thickBot="1" x14ac:dyDescent="0.6">
      <c r="A1028" s="26">
        <v>1</v>
      </c>
      <c r="B1028" s="43">
        <v>1150172</v>
      </c>
      <c r="C1028" s="6" t="s">
        <v>2465</v>
      </c>
      <c r="D1028" s="25" t="s">
        <v>2467</v>
      </c>
      <c r="E1028" s="111">
        <v>771634300</v>
      </c>
      <c r="F1028" s="4" t="s">
        <v>2466</v>
      </c>
      <c r="G1028" s="26">
        <v>2</v>
      </c>
      <c r="H1028" s="7">
        <v>45487</v>
      </c>
      <c r="J1028" s="4">
        <v>200377512809</v>
      </c>
    </row>
    <row r="1029" spans="1:10" thickTop="1" thickBot="1" x14ac:dyDescent="0.6">
      <c r="A1029" s="26">
        <v>2</v>
      </c>
      <c r="B1029" s="43">
        <v>1150246</v>
      </c>
      <c r="C1029" s="6" t="s">
        <v>2822</v>
      </c>
      <c r="D1029" s="25" t="s">
        <v>2467</v>
      </c>
      <c r="E1029" s="111">
        <v>713572296</v>
      </c>
      <c r="F1029" s="4">
        <v>317037</v>
      </c>
      <c r="G1029" s="26">
        <v>1</v>
      </c>
      <c r="H1029" s="7">
        <v>45708</v>
      </c>
    </row>
    <row r="1030" spans="1:10" thickTop="1" thickBot="1" x14ac:dyDescent="0.6">
      <c r="A1030" s="26">
        <v>3</v>
      </c>
      <c r="D1030" s="25" t="s">
        <v>2467</v>
      </c>
    </row>
    <row r="1031" spans="1:10" thickTop="1" thickBot="1" x14ac:dyDescent="0.6">
      <c r="A1031" s="26">
        <v>4</v>
      </c>
      <c r="D1031" s="25" t="s">
        <v>2467</v>
      </c>
    </row>
    <row r="1032" spans="1:10" thickTop="1" thickBot="1" x14ac:dyDescent="0.6">
      <c r="A1032" s="26">
        <v>5</v>
      </c>
      <c r="B1032" s="43">
        <v>1151135</v>
      </c>
      <c r="C1032" s="6" t="s">
        <v>2469</v>
      </c>
      <c r="D1032" s="25" t="s">
        <v>2467</v>
      </c>
      <c r="E1032" s="111">
        <v>774103337</v>
      </c>
      <c r="F1032" s="4">
        <v>118524</v>
      </c>
      <c r="G1032" s="26">
        <v>1</v>
      </c>
      <c r="H1032" s="7">
        <v>45604</v>
      </c>
      <c r="J1032" s="4">
        <v>198018605178</v>
      </c>
    </row>
    <row r="1033" spans="1:10" thickTop="1" thickBot="1" x14ac:dyDescent="0.6">
      <c r="A1033" s="26">
        <v>6</v>
      </c>
      <c r="D1033" s="25" t="s">
        <v>2467</v>
      </c>
    </row>
    <row r="1034" spans="1:10" thickTop="1" thickBot="1" x14ac:dyDescent="0.6">
      <c r="A1034" s="26">
        <v>7</v>
      </c>
      <c r="D1034" s="25" t="s">
        <v>2467</v>
      </c>
    </row>
    <row r="1035" spans="1:10" thickTop="1" thickBot="1" x14ac:dyDescent="0.6">
      <c r="A1035" s="26">
        <v>8</v>
      </c>
      <c r="B1035" s="43">
        <v>1151007</v>
      </c>
      <c r="C1035" s="6" t="s">
        <v>2472</v>
      </c>
      <c r="D1035" s="25" t="s">
        <v>2467</v>
      </c>
      <c r="E1035" s="111">
        <v>779179106</v>
      </c>
      <c r="F1035" s="4">
        <v>262231</v>
      </c>
      <c r="G1035" s="26">
        <v>1</v>
      </c>
      <c r="H1035" s="7">
        <v>45592</v>
      </c>
      <c r="J1035" s="4" t="s">
        <v>2473</v>
      </c>
    </row>
    <row r="1036" spans="1:10" thickTop="1" thickBot="1" x14ac:dyDescent="0.6">
      <c r="A1036" s="26">
        <v>9</v>
      </c>
      <c r="D1036" s="25" t="s">
        <v>2467</v>
      </c>
    </row>
    <row r="1037" spans="1:10" thickTop="1" thickBot="1" x14ac:dyDescent="0.6">
      <c r="A1037" s="26">
        <v>10</v>
      </c>
      <c r="D1037" s="25" t="s">
        <v>2467</v>
      </c>
    </row>
    <row r="1038" spans="1:10" thickTop="1" thickBot="1" x14ac:dyDescent="0.6">
      <c r="A1038" s="26">
        <v>11</v>
      </c>
      <c r="D1038" s="25" t="s">
        <v>2467</v>
      </c>
    </row>
    <row r="1039" spans="1:10" thickTop="1" thickBot="1" x14ac:dyDescent="0.6">
      <c r="A1039" s="26">
        <v>12</v>
      </c>
      <c r="B1039" s="43">
        <v>1150835</v>
      </c>
      <c r="C1039" s="6" t="s">
        <v>2475</v>
      </c>
      <c r="D1039" s="25" t="s">
        <v>2467</v>
      </c>
      <c r="E1039" s="111" t="s">
        <v>2476</v>
      </c>
      <c r="F1039" s="4">
        <v>110737</v>
      </c>
      <c r="G1039" s="26">
        <v>1</v>
      </c>
      <c r="H1039" s="7">
        <v>45550</v>
      </c>
      <c r="J1039" s="4" t="s">
        <v>2477</v>
      </c>
    </row>
    <row r="1040" spans="1:10" thickTop="1" thickBot="1" x14ac:dyDescent="0.6">
      <c r="A1040" s="26">
        <v>13</v>
      </c>
      <c r="D1040" s="25" t="s">
        <v>2467</v>
      </c>
    </row>
    <row r="1041" spans="1:10" thickTop="1" thickBot="1" x14ac:dyDescent="0.6">
      <c r="A1041" s="26">
        <v>14</v>
      </c>
      <c r="B1041" s="43">
        <v>1151482</v>
      </c>
      <c r="C1041" s="6" t="s">
        <v>2991</v>
      </c>
      <c r="D1041" s="25" t="s">
        <v>2467</v>
      </c>
      <c r="E1041" s="111">
        <v>764694391</v>
      </c>
      <c r="F1041" s="4">
        <v>668668</v>
      </c>
      <c r="G1041" s="26">
        <v>1</v>
      </c>
      <c r="H1041" s="7">
        <v>45763</v>
      </c>
      <c r="J1041" s="4">
        <v>199829801786</v>
      </c>
    </row>
    <row r="1042" spans="1:10" thickTop="1" thickBot="1" x14ac:dyDescent="0.6">
      <c r="A1042" s="26">
        <v>15</v>
      </c>
      <c r="D1042" s="25" t="s">
        <v>2467</v>
      </c>
    </row>
    <row r="1043" spans="1:10" thickTop="1" thickBot="1" x14ac:dyDescent="0.6">
      <c r="A1043" s="26">
        <v>16</v>
      </c>
      <c r="D1043" s="25" t="s">
        <v>2467</v>
      </c>
    </row>
    <row r="1044" spans="1:10" thickTop="1" thickBot="1" x14ac:dyDescent="0.6">
      <c r="A1044" s="26">
        <v>17</v>
      </c>
      <c r="B1044" s="43">
        <v>1151366</v>
      </c>
      <c r="C1044" s="6" t="s">
        <v>2699</v>
      </c>
      <c r="D1044" s="25" t="s">
        <v>2467</v>
      </c>
      <c r="E1044" s="111">
        <v>770736380</v>
      </c>
      <c r="F1044" s="4">
        <v>667595</v>
      </c>
      <c r="G1044" s="26">
        <v>1</v>
      </c>
      <c r="H1044" s="7">
        <v>45693</v>
      </c>
      <c r="J1044" s="4" t="s">
        <v>2700</v>
      </c>
    </row>
    <row r="1045" spans="1:10" thickTop="1" thickBot="1" x14ac:dyDescent="0.6">
      <c r="A1045" s="26">
        <v>18</v>
      </c>
      <c r="D1045" s="25" t="s">
        <v>2467</v>
      </c>
    </row>
    <row r="1046" spans="1:10" thickTop="1" thickBot="1" x14ac:dyDescent="0.6">
      <c r="A1046" s="26">
        <v>19</v>
      </c>
      <c r="B1046" s="43">
        <v>1151251</v>
      </c>
      <c r="C1046" s="6" t="s">
        <v>2479</v>
      </c>
      <c r="D1046" s="25" t="s">
        <v>2467</v>
      </c>
      <c r="E1046" s="111" t="s">
        <v>2480</v>
      </c>
      <c r="F1046" s="4">
        <v>352768</v>
      </c>
      <c r="G1046" s="26">
        <v>1</v>
      </c>
      <c r="H1046" s="7">
        <v>45609</v>
      </c>
      <c r="J1046" s="4">
        <v>198281101272</v>
      </c>
    </row>
    <row r="1047" spans="1:10" thickTop="1" thickBot="1" x14ac:dyDescent="0.6">
      <c r="A1047" s="26">
        <v>20</v>
      </c>
      <c r="B1047" s="43">
        <v>1151064</v>
      </c>
      <c r="C1047" s="6" t="s">
        <v>2481</v>
      </c>
      <c r="D1047" s="25" t="s">
        <v>2467</v>
      </c>
      <c r="E1047" s="111">
        <v>771069945</v>
      </c>
      <c r="F1047" s="4">
        <v>369622</v>
      </c>
      <c r="G1047" s="26">
        <v>1</v>
      </c>
      <c r="H1047" s="7">
        <v>45601</v>
      </c>
      <c r="J1047" s="4" t="s">
        <v>2482</v>
      </c>
    </row>
    <row r="1048" spans="1:10" thickTop="1" thickBot="1" x14ac:dyDescent="0.6">
      <c r="A1048" s="26">
        <v>21</v>
      </c>
      <c r="D1048" s="25" t="s">
        <v>2467</v>
      </c>
    </row>
    <row r="1049" spans="1:10" thickTop="1" thickBot="1" x14ac:dyDescent="0.6">
      <c r="A1049" s="26">
        <v>22</v>
      </c>
      <c r="B1049" s="43">
        <v>1151398</v>
      </c>
      <c r="C1049" s="6" t="s">
        <v>2003</v>
      </c>
      <c r="D1049" s="25" t="s">
        <v>2467</v>
      </c>
      <c r="E1049" s="111" t="s">
        <v>2760</v>
      </c>
      <c r="F1049" s="4">
        <v>668791</v>
      </c>
      <c r="G1049" s="26">
        <v>1</v>
      </c>
      <c r="H1049" s="7">
        <v>45708</v>
      </c>
      <c r="J1049" s="4">
        <v>198333402720</v>
      </c>
    </row>
    <row r="1050" spans="1:10" thickTop="1" thickBot="1" x14ac:dyDescent="0.6">
      <c r="A1050" s="26">
        <v>23</v>
      </c>
      <c r="B1050" s="43">
        <v>1150459</v>
      </c>
      <c r="C1050" s="6" t="s">
        <v>2828</v>
      </c>
      <c r="D1050" s="25" t="s">
        <v>2467</v>
      </c>
      <c r="E1050" s="111" t="s">
        <v>2484</v>
      </c>
      <c r="F1050" s="4">
        <v>135627</v>
      </c>
      <c r="G1050" s="26">
        <v>1</v>
      </c>
      <c r="H1050" s="7">
        <v>45590</v>
      </c>
      <c r="J1050" s="4" t="s">
        <v>2485</v>
      </c>
    </row>
    <row r="1051" spans="1:10" thickTop="1" thickBot="1" x14ac:dyDescent="0.6">
      <c r="A1051" s="26">
        <v>24</v>
      </c>
      <c r="B1051" s="43">
        <v>1151532</v>
      </c>
      <c r="C1051" s="6" t="s">
        <v>3352</v>
      </c>
      <c r="D1051" s="25" t="s">
        <v>2467</v>
      </c>
      <c r="E1051" s="111" t="s">
        <v>3275</v>
      </c>
      <c r="F1051" s="4">
        <v>611692</v>
      </c>
      <c r="G1051" s="26">
        <v>1</v>
      </c>
      <c r="H1051" s="7">
        <v>45834</v>
      </c>
      <c r="J1051" s="4" t="s">
        <v>3276</v>
      </c>
    </row>
    <row r="1052" spans="1:10" thickTop="1" thickBot="1" x14ac:dyDescent="0.6">
      <c r="A1052" s="26">
        <v>25</v>
      </c>
      <c r="B1052" s="43">
        <v>1151577</v>
      </c>
      <c r="C1052" s="6" t="s">
        <v>3346</v>
      </c>
      <c r="D1052" s="25" t="s">
        <v>2467</v>
      </c>
      <c r="E1052" s="111">
        <v>761201535</v>
      </c>
      <c r="F1052" s="4">
        <v>927494</v>
      </c>
      <c r="G1052" s="26">
        <v>1</v>
      </c>
      <c r="H1052" s="7">
        <v>45908</v>
      </c>
      <c r="J1052" s="4" t="s">
        <v>3347</v>
      </c>
    </row>
    <row r="1053" spans="1:10" thickTop="1" thickBot="1" x14ac:dyDescent="0.6">
      <c r="A1053" s="26">
        <v>26</v>
      </c>
      <c r="B1053" s="43">
        <v>1151500</v>
      </c>
      <c r="C1053" s="6" t="s">
        <v>3052</v>
      </c>
      <c r="D1053" s="25" t="s">
        <v>2467</v>
      </c>
      <c r="E1053" s="111">
        <v>777971041</v>
      </c>
      <c r="F1053" s="4">
        <v>556426</v>
      </c>
      <c r="G1053" s="26">
        <v>1</v>
      </c>
      <c r="H1053" s="7">
        <v>45782</v>
      </c>
      <c r="J1053" s="4" t="s">
        <v>3053</v>
      </c>
    </row>
    <row r="1054" spans="1:10" thickTop="1" thickBot="1" x14ac:dyDescent="0.6">
      <c r="A1054" s="26">
        <v>27</v>
      </c>
      <c r="B1054" s="43">
        <v>1151418</v>
      </c>
      <c r="C1054" s="6" t="s">
        <v>2799</v>
      </c>
      <c r="D1054" s="25" t="s">
        <v>2467</v>
      </c>
      <c r="E1054" s="111">
        <v>761157747</v>
      </c>
      <c r="F1054" s="4">
        <v>643554</v>
      </c>
      <c r="G1054" s="26">
        <v>1</v>
      </c>
      <c r="H1054" s="7">
        <v>45722</v>
      </c>
    </row>
    <row r="1055" spans="1:10" thickTop="1" thickBot="1" x14ac:dyDescent="0.6">
      <c r="A1055" s="26">
        <v>28</v>
      </c>
      <c r="D1055" s="25" t="s">
        <v>2467</v>
      </c>
    </row>
    <row r="1056" spans="1:10" thickTop="1" thickBot="1" x14ac:dyDescent="0.6">
      <c r="A1056" s="26">
        <v>29</v>
      </c>
      <c r="B1056" s="43">
        <v>1150834</v>
      </c>
      <c r="C1056" s="6" t="s">
        <v>2486</v>
      </c>
      <c r="D1056" s="25" t="s">
        <v>2467</v>
      </c>
      <c r="E1056" s="111" t="s">
        <v>2487</v>
      </c>
      <c r="F1056" s="4" t="str">
        <f>"0"&amp;43359</f>
        <v>043359</v>
      </c>
      <c r="G1056" s="26">
        <v>1</v>
      </c>
      <c r="H1056" s="7">
        <v>45550</v>
      </c>
      <c r="J1056" s="4">
        <v>199975210613</v>
      </c>
    </row>
    <row r="1057" spans="1:10" thickTop="1" thickBot="1" x14ac:dyDescent="0.6">
      <c r="A1057" s="26">
        <v>30</v>
      </c>
      <c r="D1057" s="25" t="s">
        <v>2467</v>
      </c>
    </row>
    <row r="1058" spans="1:10" thickTop="1" thickBot="1" x14ac:dyDescent="0.6">
      <c r="A1058" s="26">
        <v>31</v>
      </c>
      <c r="B1058" s="43">
        <v>1151424</v>
      </c>
      <c r="C1058" s="6" t="s">
        <v>2811</v>
      </c>
      <c r="D1058" s="25" t="s">
        <v>2467</v>
      </c>
      <c r="E1058" s="111">
        <v>751744203</v>
      </c>
      <c r="F1058" s="4">
        <v>558703</v>
      </c>
      <c r="G1058" s="26">
        <v>1</v>
      </c>
      <c r="H1058" s="7">
        <v>45726</v>
      </c>
      <c r="J1058" s="4">
        <v>197175802632</v>
      </c>
    </row>
    <row r="1059" spans="1:10" thickTop="1" thickBot="1" x14ac:dyDescent="0.6">
      <c r="A1059" s="26">
        <v>32</v>
      </c>
      <c r="B1059" s="43">
        <v>1151450</v>
      </c>
      <c r="C1059" s="6" t="s">
        <v>2900</v>
      </c>
      <c r="D1059" s="25" t="s">
        <v>2467</v>
      </c>
      <c r="E1059" s="111">
        <v>779084783</v>
      </c>
      <c r="F1059" s="4">
        <v>526973</v>
      </c>
      <c r="G1059" s="26">
        <v>1</v>
      </c>
      <c r="H1059" s="7">
        <v>45746</v>
      </c>
      <c r="J1059" s="4" t="s">
        <v>2901</v>
      </c>
    </row>
    <row r="1060" spans="1:10" thickTop="1" thickBot="1" x14ac:dyDescent="0.6">
      <c r="A1060" s="26">
        <v>33</v>
      </c>
      <c r="D1060" s="25" t="s">
        <v>2467</v>
      </c>
    </row>
    <row r="1061" spans="1:10" thickTop="1" thickBot="1" x14ac:dyDescent="0.6">
      <c r="A1061" s="26">
        <v>34</v>
      </c>
      <c r="D1061" s="25" t="s">
        <v>2467</v>
      </c>
    </row>
    <row r="1062" spans="1:10" thickTop="1" thickBot="1" x14ac:dyDescent="0.6">
      <c r="A1062" s="26">
        <v>35</v>
      </c>
      <c r="D1062" s="25" t="s">
        <v>2467</v>
      </c>
    </row>
    <row r="1063" spans="1:10" thickTop="1" thickBot="1" x14ac:dyDescent="0.6">
      <c r="A1063" s="26">
        <v>36</v>
      </c>
      <c r="D1063" s="25" t="s">
        <v>2467</v>
      </c>
    </row>
    <row r="1064" spans="1:10" thickTop="1" thickBot="1" x14ac:dyDescent="0.6">
      <c r="A1064" s="26">
        <v>37</v>
      </c>
      <c r="D1064" s="25" t="s">
        <v>2467</v>
      </c>
      <c r="H1064" s="7"/>
    </row>
    <row r="1065" spans="1:10" thickTop="1" thickBot="1" x14ac:dyDescent="0.6">
      <c r="A1065" s="26">
        <v>38</v>
      </c>
      <c r="B1065" s="43">
        <v>1150677</v>
      </c>
      <c r="C1065" s="6" t="s">
        <v>2488</v>
      </c>
      <c r="D1065" s="25" t="s">
        <v>2467</v>
      </c>
      <c r="E1065" s="111">
        <v>717737326</v>
      </c>
      <c r="F1065" s="4">
        <v>126923</v>
      </c>
      <c r="G1065" s="26">
        <v>1</v>
      </c>
      <c r="H1065" s="7">
        <v>45423</v>
      </c>
      <c r="J1065" s="4" t="s">
        <v>2489</v>
      </c>
    </row>
    <row r="1066" spans="1:10" thickTop="1" thickBot="1" x14ac:dyDescent="0.6">
      <c r="A1066" s="26">
        <v>39</v>
      </c>
      <c r="B1066" s="43">
        <v>1150102</v>
      </c>
      <c r="C1066" s="6" t="s">
        <v>2483</v>
      </c>
      <c r="D1066" s="25" t="s">
        <v>2467</v>
      </c>
      <c r="E1066" s="111">
        <v>715887890</v>
      </c>
      <c r="F1066" s="4">
        <v>338835</v>
      </c>
      <c r="G1066" s="26">
        <v>1</v>
      </c>
    </row>
    <row r="1067" spans="1:10" thickTop="1" thickBot="1" x14ac:dyDescent="0.6">
      <c r="A1067" s="26">
        <v>40</v>
      </c>
      <c r="B1067" s="43">
        <v>1150104</v>
      </c>
      <c r="C1067" s="6" t="s">
        <v>2490</v>
      </c>
      <c r="D1067" s="25" t="s">
        <v>2467</v>
      </c>
      <c r="E1067" s="111">
        <v>772736328</v>
      </c>
      <c r="F1067" s="4">
        <v>242763</v>
      </c>
      <c r="G1067" s="26">
        <v>1</v>
      </c>
    </row>
    <row r="1068" spans="1:10" thickTop="1" thickBot="1" x14ac:dyDescent="0.6">
      <c r="A1068" s="26">
        <v>41</v>
      </c>
      <c r="D1068" s="25" t="s">
        <v>2467</v>
      </c>
    </row>
    <row r="1069" spans="1:10" thickTop="1" thickBot="1" x14ac:dyDescent="0.6">
      <c r="A1069" s="26">
        <v>42</v>
      </c>
      <c r="D1069" s="25" t="s">
        <v>2467</v>
      </c>
    </row>
    <row r="1070" spans="1:10" thickTop="1" thickBot="1" x14ac:dyDescent="0.6">
      <c r="A1070" s="26">
        <v>43</v>
      </c>
      <c r="D1070" s="25" t="s">
        <v>2467</v>
      </c>
    </row>
    <row r="1071" spans="1:10" thickTop="1" thickBot="1" x14ac:dyDescent="0.6">
      <c r="A1071" s="26">
        <v>44</v>
      </c>
      <c r="D1071" s="25" t="s">
        <v>2467</v>
      </c>
    </row>
    <row r="1072" spans="1:10" thickTop="1" thickBot="1" x14ac:dyDescent="0.6">
      <c r="A1072" s="26">
        <v>45</v>
      </c>
      <c r="B1072" s="43">
        <v>1151241</v>
      </c>
      <c r="C1072" s="6" t="s">
        <v>2492</v>
      </c>
      <c r="D1072" s="25" t="s">
        <v>2467</v>
      </c>
      <c r="E1072" s="111" t="s">
        <v>2493</v>
      </c>
      <c r="F1072" s="4">
        <v>275746</v>
      </c>
      <c r="G1072" s="26">
        <v>1</v>
      </c>
      <c r="H1072" s="7">
        <v>45609</v>
      </c>
      <c r="J1072" s="4" t="s">
        <v>2470</v>
      </c>
    </row>
    <row r="1073" spans="1:10" thickTop="1" thickBot="1" x14ac:dyDescent="0.6">
      <c r="A1073" s="26">
        <v>46</v>
      </c>
      <c r="B1073" s="43">
        <v>1151146</v>
      </c>
      <c r="C1073" s="6" t="s">
        <v>2494</v>
      </c>
      <c r="D1073" s="25" t="s">
        <v>2467</v>
      </c>
      <c r="E1073" s="111">
        <v>767071359</v>
      </c>
      <c r="F1073" s="4">
        <v>367956</v>
      </c>
      <c r="G1073" s="26">
        <v>1</v>
      </c>
      <c r="H1073" s="7">
        <v>45605</v>
      </c>
      <c r="J1073" s="4" t="s">
        <v>2495</v>
      </c>
    </row>
    <row r="1074" spans="1:10" thickTop="1" thickBot="1" x14ac:dyDescent="0.6">
      <c r="A1074" s="26">
        <v>47</v>
      </c>
      <c r="B1074" s="43">
        <v>1151502</v>
      </c>
      <c r="C1074" s="6" t="s">
        <v>3064</v>
      </c>
      <c r="D1074" s="25" t="s">
        <v>2467</v>
      </c>
      <c r="E1074" s="111">
        <v>777436596</v>
      </c>
      <c r="F1074" s="4">
        <v>679376</v>
      </c>
      <c r="G1074" s="26">
        <v>1</v>
      </c>
      <c r="H1074" s="7">
        <v>45786</v>
      </c>
      <c r="J1074" s="4" t="s">
        <v>3065</v>
      </c>
    </row>
    <row r="1075" spans="1:10" thickTop="1" thickBot="1" x14ac:dyDescent="0.6">
      <c r="A1075" s="26">
        <v>48</v>
      </c>
      <c r="B1075" s="43">
        <v>1150149</v>
      </c>
      <c r="C1075" s="6" t="s">
        <v>2496</v>
      </c>
      <c r="D1075" s="25" t="s">
        <v>2467</v>
      </c>
      <c r="E1075" s="111" t="s">
        <v>2497</v>
      </c>
      <c r="F1075" s="4">
        <v>281886</v>
      </c>
      <c r="G1075" s="26">
        <v>1</v>
      </c>
      <c r="H1075" s="7">
        <v>45579</v>
      </c>
      <c r="J1075" s="4" t="s">
        <v>2468</v>
      </c>
    </row>
    <row r="1076" spans="1:10" thickTop="1" thickBot="1" x14ac:dyDescent="0.6">
      <c r="A1076" s="26">
        <v>49</v>
      </c>
      <c r="B1076" s="43">
        <v>1150176</v>
      </c>
      <c r="C1076" s="6" t="s">
        <v>2498</v>
      </c>
      <c r="D1076" s="25" t="s">
        <v>2467</v>
      </c>
      <c r="E1076" s="111">
        <v>777239540</v>
      </c>
      <c r="F1076" s="4">
        <v>498332</v>
      </c>
      <c r="G1076" s="26">
        <v>1</v>
      </c>
      <c r="J1076" s="4" t="s">
        <v>2491</v>
      </c>
    </row>
    <row r="1077" spans="1:10" thickTop="1" thickBot="1" x14ac:dyDescent="0.6">
      <c r="A1077" s="26">
        <v>50</v>
      </c>
      <c r="D1077" s="25" t="s">
        <v>2467</v>
      </c>
    </row>
    <row r="1078" spans="1:10" thickTop="1" thickBot="1" x14ac:dyDescent="0.6">
      <c r="A1078" s="26">
        <v>51</v>
      </c>
      <c r="B1078" s="43">
        <v>1150494</v>
      </c>
      <c r="C1078" s="6" t="s">
        <v>3448</v>
      </c>
      <c r="D1078" s="25" t="s">
        <v>2467</v>
      </c>
      <c r="E1078" s="111">
        <v>763643390</v>
      </c>
      <c r="F1078" s="4">
        <v>147267</v>
      </c>
      <c r="G1078" s="26">
        <v>1</v>
      </c>
      <c r="J1078" s="4" t="s">
        <v>2470</v>
      </c>
    </row>
    <row r="1079" spans="1:10" thickTop="1" thickBot="1" x14ac:dyDescent="0.6">
      <c r="A1079" s="26">
        <v>52</v>
      </c>
      <c r="D1079" s="25" t="s">
        <v>2467</v>
      </c>
    </row>
    <row r="1080" spans="1:10" thickTop="1" thickBot="1" x14ac:dyDescent="0.6">
      <c r="A1080" s="26">
        <v>53</v>
      </c>
      <c r="B1080" s="43">
        <v>1150583</v>
      </c>
      <c r="C1080" s="6" t="s">
        <v>2499</v>
      </c>
      <c r="D1080" s="25" t="s">
        <v>2467</v>
      </c>
      <c r="E1080" s="111">
        <v>779082356</v>
      </c>
      <c r="F1080" s="4">
        <v>120736</v>
      </c>
      <c r="G1080" s="26">
        <v>1</v>
      </c>
      <c r="H1080" s="7">
        <v>45292</v>
      </c>
      <c r="J1080" s="4" t="s">
        <v>2500</v>
      </c>
    </row>
    <row r="1081" spans="1:10" thickTop="1" thickBot="1" x14ac:dyDescent="0.6">
      <c r="A1081" s="26">
        <v>54</v>
      </c>
      <c r="D1081" s="25" t="s">
        <v>2467</v>
      </c>
    </row>
    <row r="1082" spans="1:10" thickTop="1" thickBot="1" x14ac:dyDescent="0.6">
      <c r="A1082" s="26">
        <v>55</v>
      </c>
      <c r="B1082" s="43">
        <v>1151475</v>
      </c>
      <c r="C1082" s="6" t="s">
        <v>2970</v>
      </c>
      <c r="D1082" s="25" t="s">
        <v>2467</v>
      </c>
      <c r="E1082" s="111">
        <v>715671047</v>
      </c>
      <c r="F1082" s="4">
        <v>630718</v>
      </c>
      <c r="G1082" s="26">
        <v>1</v>
      </c>
      <c r="H1082" s="7">
        <v>45760</v>
      </c>
      <c r="J1082" s="4" t="s">
        <v>2971</v>
      </c>
    </row>
    <row r="1083" spans="1:10" thickTop="1" thickBot="1" x14ac:dyDescent="0.6">
      <c r="A1083" s="26">
        <v>56</v>
      </c>
      <c r="B1083" s="43">
        <v>1151069</v>
      </c>
      <c r="C1083" s="6" t="s">
        <v>2501</v>
      </c>
      <c r="D1083" s="25" t="s">
        <v>2467</v>
      </c>
      <c r="E1083" s="111">
        <v>775705762</v>
      </c>
      <c r="F1083" s="4">
        <v>279045</v>
      </c>
      <c r="G1083" s="26">
        <v>1</v>
      </c>
      <c r="H1083" s="7">
        <v>45601</v>
      </c>
    </row>
    <row r="1084" spans="1:10" thickTop="1" thickBot="1" x14ac:dyDescent="0.6">
      <c r="A1084" s="26">
        <v>57</v>
      </c>
      <c r="B1084" s="43">
        <v>1151024</v>
      </c>
      <c r="C1084" s="6" t="s">
        <v>2502</v>
      </c>
      <c r="D1084" s="25" t="s">
        <v>2467</v>
      </c>
      <c r="E1084" s="111">
        <v>723579329</v>
      </c>
      <c r="F1084" s="4">
        <v>365844</v>
      </c>
      <c r="G1084" s="26">
        <v>1</v>
      </c>
      <c r="H1084" s="7">
        <v>45601</v>
      </c>
      <c r="J1084" s="4" t="s">
        <v>2503</v>
      </c>
    </row>
    <row r="1085" spans="1:10" thickTop="1" thickBot="1" x14ac:dyDescent="0.6">
      <c r="A1085" s="26">
        <v>58</v>
      </c>
      <c r="B1085" s="43">
        <v>1151010</v>
      </c>
      <c r="C1085" s="6" t="s">
        <v>2504</v>
      </c>
      <c r="D1085" s="25" t="s">
        <v>2467</v>
      </c>
      <c r="E1085" s="111">
        <v>755060001</v>
      </c>
      <c r="F1085" s="4">
        <v>346182</v>
      </c>
      <c r="G1085" s="26">
        <v>1</v>
      </c>
      <c r="H1085" s="7">
        <v>45592</v>
      </c>
      <c r="J1085" s="4" t="s">
        <v>2505</v>
      </c>
    </row>
    <row r="1086" spans="1:10" thickTop="1" thickBot="1" x14ac:dyDescent="0.6">
      <c r="A1086" s="26">
        <v>59</v>
      </c>
      <c r="D1086" s="25" t="s">
        <v>2467</v>
      </c>
    </row>
    <row r="1087" spans="1:10" thickTop="1" thickBot="1" x14ac:dyDescent="0.6">
      <c r="A1087" s="26">
        <v>60</v>
      </c>
      <c r="B1087" s="43">
        <v>1150179</v>
      </c>
      <c r="C1087" s="6" t="s">
        <v>376</v>
      </c>
      <c r="D1087" s="25" t="s">
        <v>2467</v>
      </c>
      <c r="E1087" s="111">
        <v>741245009</v>
      </c>
      <c r="F1087" s="4">
        <v>578059</v>
      </c>
      <c r="G1087" s="26">
        <v>1</v>
      </c>
      <c r="H1087" s="7">
        <v>45916</v>
      </c>
      <c r="J1087" s="4" t="s">
        <v>3362</v>
      </c>
    </row>
    <row r="1088" spans="1:10" thickTop="1" thickBot="1" x14ac:dyDescent="0.6">
      <c r="A1088" s="26">
        <v>61</v>
      </c>
      <c r="D1088" s="25" t="s">
        <v>2467</v>
      </c>
    </row>
    <row r="1089" spans="1:10" thickTop="1" thickBot="1" x14ac:dyDescent="0.6">
      <c r="A1089" s="26">
        <v>62</v>
      </c>
      <c r="B1089" s="43">
        <v>1150174</v>
      </c>
      <c r="C1089" s="6" t="s">
        <v>2506</v>
      </c>
      <c r="D1089" s="25" t="s">
        <v>2467</v>
      </c>
      <c r="E1089" s="111">
        <v>773863959</v>
      </c>
      <c r="F1089" s="4">
        <v>511969</v>
      </c>
      <c r="G1089" s="26">
        <v>1</v>
      </c>
      <c r="J1089" s="4" t="s">
        <v>2471</v>
      </c>
    </row>
    <row r="1090" spans="1:10" thickTop="1" thickBot="1" x14ac:dyDescent="0.6">
      <c r="A1090" s="26">
        <v>63</v>
      </c>
      <c r="D1090" s="25" t="s">
        <v>2467</v>
      </c>
    </row>
    <row r="1091" spans="1:10" thickTop="1" thickBot="1" x14ac:dyDescent="0.6">
      <c r="A1091" s="26">
        <v>64</v>
      </c>
      <c r="B1091" s="43">
        <v>1150181</v>
      </c>
      <c r="C1091" s="6" t="s">
        <v>2507</v>
      </c>
      <c r="D1091" s="25" t="s">
        <v>2467</v>
      </c>
      <c r="E1091" s="111" t="s">
        <v>2508</v>
      </c>
      <c r="F1091" s="4">
        <v>556279</v>
      </c>
      <c r="G1091" s="26">
        <v>1</v>
      </c>
      <c r="J1091" s="4" t="s">
        <v>2473</v>
      </c>
    </row>
    <row r="1092" spans="1:10" thickTop="1" thickBot="1" x14ac:dyDescent="0.6">
      <c r="A1092" s="26">
        <v>65</v>
      </c>
      <c r="D1092" s="25" t="s">
        <v>2467</v>
      </c>
    </row>
    <row r="1093" spans="1:10" thickTop="1" thickBot="1" x14ac:dyDescent="0.6">
      <c r="A1093" s="26">
        <v>66</v>
      </c>
      <c r="D1093" s="25" t="s">
        <v>2467</v>
      </c>
    </row>
    <row r="1094" spans="1:10" thickTop="1" thickBot="1" x14ac:dyDescent="0.6">
      <c r="A1094" s="26">
        <v>67</v>
      </c>
      <c r="D1094" s="25" t="s">
        <v>2467</v>
      </c>
    </row>
    <row r="1095" spans="1:10" thickTop="1" thickBot="1" x14ac:dyDescent="0.6">
      <c r="A1095" s="26">
        <v>68</v>
      </c>
      <c r="D1095" s="25" t="s">
        <v>2467</v>
      </c>
    </row>
    <row r="1096" spans="1:10" thickTop="1" thickBot="1" x14ac:dyDescent="0.6">
      <c r="A1096" s="26">
        <v>69</v>
      </c>
      <c r="D1096" s="25" t="s">
        <v>2467</v>
      </c>
    </row>
    <row r="1097" spans="1:10" thickTop="1" thickBot="1" x14ac:dyDescent="0.6">
      <c r="A1097" s="26">
        <v>70</v>
      </c>
      <c r="D1097" s="25" t="s">
        <v>2467</v>
      </c>
    </row>
    <row r="1098" spans="1:10" thickTop="1" thickBot="1" x14ac:dyDescent="0.6">
      <c r="A1098" s="26">
        <v>71</v>
      </c>
      <c r="B1098" s="43">
        <v>1151486</v>
      </c>
      <c r="C1098" s="6" t="s">
        <v>2996</v>
      </c>
      <c r="D1098" s="25" t="s">
        <v>2467</v>
      </c>
      <c r="E1098" s="111" t="s">
        <v>2997</v>
      </c>
      <c r="F1098" s="4">
        <v>444573</v>
      </c>
      <c r="G1098" s="26">
        <v>1</v>
      </c>
      <c r="H1098" s="7">
        <v>45767</v>
      </c>
      <c r="J1098" s="4" t="s">
        <v>2998</v>
      </c>
    </row>
    <row r="1099" spans="1:10" thickTop="1" thickBot="1" x14ac:dyDescent="0.6">
      <c r="A1099" s="26">
        <v>72</v>
      </c>
      <c r="B1099" s="43">
        <v>1151173</v>
      </c>
      <c r="C1099" s="6" t="s">
        <v>2294</v>
      </c>
      <c r="D1099" s="25" t="s">
        <v>2467</v>
      </c>
      <c r="E1099" s="111">
        <v>769216351</v>
      </c>
      <c r="F1099" s="4">
        <v>296049</v>
      </c>
      <c r="G1099" s="26">
        <v>1</v>
      </c>
      <c r="H1099" s="7">
        <v>45606</v>
      </c>
      <c r="J1099" s="4" t="s">
        <v>2509</v>
      </c>
    </row>
    <row r="1100" spans="1:10" thickTop="1" thickBot="1" x14ac:dyDescent="0.6">
      <c r="A1100" s="26">
        <v>73</v>
      </c>
      <c r="B1100" s="43">
        <v>1150716</v>
      </c>
      <c r="C1100" s="6" t="s">
        <v>2510</v>
      </c>
      <c r="D1100" s="25" t="s">
        <v>2467</v>
      </c>
      <c r="E1100" s="111" t="s">
        <v>2511</v>
      </c>
      <c r="F1100" s="4" t="str">
        <f>"0"&amp;89048</f>
        <v>089048</v>
      </c>
      <c r="G1100" s="26">
        <v>1</v>
      </c>
      <c r="H1100" s="7">
        <v>45479</v>
      </c>
      <c r="J1100" s="4">
        <v>199725602920</v>
      </c>
    </row>
    <row r="1101" spans="1:10" thickTop="1" thickBot="1" x14ac:dyDescent="0.6">
      <c r="A1101" s="26">
        <v>74</v>
      </c>
      <c r="D1101" s="25" t="s">
        <v>2467</v>
      </c>
    </row>
    <row r="1102" spans="1:10" thickTop="1" thickBot="1" x14ac:dyDescent="0.6">
      <c r="A1102" s="26">
        <v>75</v>
      </c>
      <c r="D1102" s="25" t="s">
        <v>2467</v>
      </c>
      <c r="H1102" s="7"/>
    </row>
    <row r="1103" spans="1:10" thickTop="1" thickBot="1" x14ac:dyDescent="0.6">
      <c r="A1103" s="26">
        <v>76</v>
      </c>
      <c r="D1103" s="25" t="s">
        <v>2467</v>
      </c>
    </row>
    <row r="1104" spans="1:10" thickTop="1" thickBot="1" x14ac:dyDescent="0.6">
      <c r="A1104" s="26">
        <v>77</v>
      </c>
      <c r="B1104" s="43">
        <v>1151002</v>
      </c>
      <c r="C1104" s="6" t="s">
        <v>1651</v>
      </c>
      <c r="D1104" s="25" t="s">
        <v>2467</v>
      </c>
      <c r="E1104" s="111">
        <v>774007150</v>
      </c>
      <c r="F1104" s="4">
        <v>237225</v>
      </c>
      <c r="G1104" s="26">
        <v>1</v>
      </c>
      <c r="H1104" s="7">
        <v>45592</v>
      </c>
      <c r="J1104" s="4" t="s">
        <v>2512</v>
      </c>
    </row>
    <row r="1105" spans="1:10" thickTop="1" thickBot="1" x14ac:dyDescent="0.6">
      <c r="A1105" s="26">
        <v>78</v>
      </c>
      <c r="B1105" s="43">
        <v>1151218</v>
      </c>
      <c r="C1105" s="6" t="s">
        <v>2513</v>
      </c>
      <c r="D1105" s="25" t="s">
        <v>2467</v>
      </c>
      <c r="E1105" s="111">
        <v>775970388</v>
      </c>
      <c r="F1105" s="4">
        <v>222482</v>
      </c>
      <c r="G1105" s="26">
        <v>1</v>
      </c>
      <c r="H1105" s="7">
        <v>45608</v>
      </c>
      <c r="J1105" s="4" t="s">
        <v>2514</v>
      </c>
    </row>
    <row r="1106" spans="1:10" thickTop="1" thickBot="1" x14ac:dyDescent="0.6">
      <c r="A1106" s="26">
        <v>79</v>
      </c>
      <c r="D1106" s="25" t="s">
        <v>2467</v>
      </c>
    </row>
    <row r="1107" spans="1:10" thickTop="1" thickBot="1" x14ac:dyDescent="0.6">
      <c r="A1107" s="26">
        <v>80</v>
      </c>
      <c r="D1107" s="25" t="s">
        <v>2467</v>
      </c>
    </row>
    <row r="1108" spans="1:10" thickTop="1" thickBot="1" x14ac:dyDescent="0.6">
      <c r="A1108" s="26">
        <v>81</v>
      </c>
      <c r="B1108" s="43">
        <v>1150994</v>
      </c>
      <c r="C1108" s="6" t="s">
        <v>2515</v>
      </c>
      <c r="D1108" s="25" t="s">
        <v>2467</v>
      </c>
      <c r="E1108" s="111">
        <v>775063169</v>
      </c>
      <c r="F1108" s="4">
        <v>366685</v>
      </c>
      <c r="G1108" s="26">
        <v>1</v>
      </c>
      <c r="H1108" s="7">
        <v>45592</v>
      </c>
      <c r="J1108" s="4" t="s">
        <v>2516</v>
      </c>
    </row>
    <row r="1109" spans="1:10" thickTop="1" thickBot="1" x14ac:dyDescent="0.6">
      <c r="A1109" s="26">
        <v>82</v>
      </c>
      <c r="D1109" s="25" t="s">
        <v>2467</v>
      </c>
    </row>
    <row r="1110" spans="1:10" thickTop="1" thickBot="1" x14ac:dyDescent="0.6">
      <c r="A1110" s="26">
        <v>83</v>
      </c>
      <c r="B1110" s="43">
        <v>1151602</v>
      </c>
      <c r="C1110" s="6" t="s">
        <v>3427</v>
      </c>
      <c r="D1110" s="25" t="s">
        <v>2467</v>
      </c>
      <c r="E1110" s="111">
        <v>762257137</v>
      </c>
      <c r="F1110" s="4">
        <v>720394</v>
      </c>
      <c r="G1110" s="26">
        <v>1</v>
      </c>
      <c r="H1110" s="7">
        <v>45962</v>
      </c>
      <c r="J1110" s="4" t="s">
        <v>3428</v>
      </c>
    </row>
    <row r="1111" spans="1:10" thickTop="1" thickBot="1" x14ac:dyDescent="0.6">
      <c r="A1111" s="26">
        <v>84</v>
      </c>
      <c r="D1111" s="25" t="s">
        <v>2467</v>
      </c>
    </row>
    <row r="1112" spans="1:10" thickTop="1" thickBot="1" x14ac:dyDescent="0.6">
      <c r="A1112" s="26">
        <v>85</v>
      </c>
      <c r="B1112" s="43">
        <v>1150237</v>
      </c>
      <c r="C1112" s="6" t="s">
        <v>2517</v>
      </c>
      <c r="D1112" s="25" t="s">
        <v>2467</v>
      </c>
      <c r="E1112" s="111">
        <v>717565402</v>
      </c>
      <c r="F1112" s="4" t="s">
        <v>2518</v>
      </c>
      <c r="G1112" s="26">
        <v>2</v>
      </c>
      <c r="J1112" s="4" t="s">
        <v>2474</v>
      </c>
    </row>
    <row r="1113" spans="1:10" thickTop="1" thickBot="1" x14ac:dyDescent="0.6">
      <c r="A1113" s="26">
        <v>86</v>
      </c>
      <c r="B1113" s="43">
        <v>1150159</v>
      </c>
      <c r="C1113" s="6" t="s">
        <v>2519</v>
      </c>
      <c r="D1113" s="25" t="s">
        <v>2467</v>
      </c>
      <c r="E1113" s="111">
        <v>772027903</v>
      </c>
      <c r="F1113" s="4">
        <v>539366</v>
      </c>
      <c r="G1113" s="26">
        <v>1</v>
      </c>
      <c r="H1113" s="7">
        <v>45649</v>
      </c>
    </row>
    <row r="1114" spans="1:10" thickTop="1" thickBot="1" x14ac:dyDescent="0.6">
      <c r="A1114" s="26">
        <v>87</v>
      </c>
      <c r="D1114" s="25" t="s">
        <v>2467</v>
      </c>
    </row>
    <row r="1115" spans="1:10" thickTop="1" thickBot="1" x14ac:dyDescent="0.6">
      <c r="A1115" s="26">
        <v>88</v>
      </c>
      <c r="D1115" s="25" t="s">
        <v>2467</v>
      </c>
    </row>
    <row r="1116" spans="1:10" thickTop="1" thickBot="1" x14ac:dyDescent="0.6">
      <c r="A1116" s="26">
        <v>89</v>
      </c>
      <c r="B1116" s="43">
        <v>1150475</v>
      </c>
      <c r="C1116" s="6" t="s">
        <v>2761</v>
      </c>
      <c r="D1116" s="25" t="s">
        <v>2467</v>
      </c>
      <c r="E1116" s="111">
        <v>778162324</v>
      </c>
      <c r="F1116" s="4">
        <v>70485</v>
      </c>
      <c r="G1116" s="26">
        <v>1</v>
      </c>
      <c r="H1116" s="7">
        <v>45709</v>
      </c>
      <c r="J1116" s="4" t="s">
        <v>2762</v>
      </c>
    </row>
    <row r="1117" spans="1:10" thickTop="1" thickBot="1" x14ac:dyDescent="0.6">
      <c r="A1117" s="26">
        <v>90</v>
      </c>
      <c r="B1117" s="43">
        <v>1151399</v>
      </c>
      <c r="C1117" s="6" t="s">
        <v>2763</v>
      </c>
      <c r="D1117" s="25" t="s">
        <v>2467</v>
      </c>
      <c r="E1117" s="111" t="s">
        <v>2764</v>
      </c>
      <c r="F1117" s="4">
        <v>419591</v>
      </c>
      <c r="G1117" s="26">
        <v>1</v>
      </c>
      <c r="H1117" s="7">
        <v>45709</v>
      </c>
      <c r="J1117" s="8" t="s">
        <v>2765</v>
      </c>
    </row>
    <row r="1118" spans="1:10" thickTop="1" thickBot="1" x14ac:dyDescent="0.6">
      <c r="A1118" s="26">
        <v>91</v>
      </c>
      <c r="D1118" s="25" t="s">
        <v>2467</v>
      </c>
    </row>
    <row r="1119" spans="1:10" thickTop="1" thickBot="1" x14ac:dyDescent="0.6">
      <c r="A1119" s="26">
        <v>92</v>
      </c>
      <c r="B1119" s="43">
        <v>1151593</v>
      </c>
      <c r="C1119" s="6" t="s">
        <v>3387</v>
      </c>
      <c r="D1119" s="25" t="s">
        <v>2467</v>
      </c>
      <c r="E1119" s="111">
        <v>767792017</v>
      </c>
      <c r="F1119" s="4">
        <v>874555</v>
      </c>
      <c r="G1119" s="26">
        <v>1</v>
      </c>
      <c r="H1119" s="7">
        <v>45931</v>
      </c>
      <c r="J1119" s="4">
        <v>19282104433</v>
      </c>
    </row>
    <row r="1120" spans="1:10" thickTop="1" thickBot="1" x14ac:dyDescent="0.6">
      <c r="A1120" s="26">
        <v>93</v>
      </c>
      <c r="D1120" s="25" t="s">
        <v>2467</v>
      </c>
    </row>
    <row r="1121" spans="1:10" thickTop="1" thickBot="1" x14ac:dyDescent="0.6">
      <c r="A1121" s="26">
        <v>94</v>
      </c>
      <c r="D1121" s="25" t="s">
        <v>2467</v>
      </c>
    </row>
    <row r="1122" spans="1:10" thickTop="1" thickBot="1" x14ac:dyDescent="0.6">
      <c r="A1122" s="26">
        <v>95</v>
      </c>
      <c r="B1122" s="43">
        <v>1151234</v>
      </c>
      <c r="C1122" s="6" t="s">
        <v>2520</v>
      </c>
      <c r="D1122" s="25" t="s">
        <v>2467</v>
      </c>
      <c r="F1122" s="4">
        <v>184989</v>
      </c>
      <c r="G1122" s="26">
        <v>1</v>
      </c>
      <c r="H1122" s="7">
        <v>45609</v>
      </c>
      <c r="J1122" s="4" t="s">
        <v>2521</v>
      </c>
    </row>
    <row r="1123" spans="1:10" thickTop="1" thickBot="1" x14ac:dyDescent="0.6">
      <c r="A1123" s="26">
        <v>96</v>
      </c>
      <c r="B1123" s="43">
        <v>1151225</v>
      </c>
      <c r="C1123" s="6" t="s">
        <v>2522</v>
      </c>
      <c r="D1123" s="25" t="s">
        <v>2467</v>
      </c>
      <c r="E1123" s="111">
        <v>776024299</v>
      </c>
      <c r="F1123" s="4">
        <v>228562</v>
      </c>
      <c r="G1123" s="26">
        <v>1</v>
      </c>
      <c r="H1123" s="7">
        <v>45609</v>
      </c>
      <c r="J1123" s="4" t="s">
        <v>2523</v>
      </c>
    </row>
    <row r="1124" spans="1:10" thickTop="1" thickBot="1" x14ac:dyDescent="0.6">
      <c r="A1124" s="26">
        <v>97</v>
      </c>
      <c r="D1124" s="25" t="s">
        <v>2467</v>
      </c>
    </row>
    <row r="1125" spans="1:10" thickTop="1" thickBot="1" x14ac:dyDescent="0.6">
      <c r="A1125" s="26">
        <v>98</v>
      </c>
      <c r="B1125" s="43">
        <v>1150844</v>
      </c>
      <c r="C1125" s="6" t="s">
        <v>2524</v>
      </c>
      <c r="D1125" s="25" t="s">
        <v>2467</v>
      </c>
      <c r="E1125" s="111">
        <v>762590469</v>
      </c>
      <c r="F1125" s="4">
        <v>360464</v>
      </c>
      <c r="G1125" s="26">
        <v>1</v>
      </c>
      <c r="H1125" s="7">
        <v>45559</v>
      </c>
      <c r="J1125" s="4" t="s">
        <v>2525</v>
      </c>
    </row>
    <row r="1126" spans="1:10" thickTop="1" thickBot="1" x14ac:dyDescent="0.6">
      <c r="A1126" s="26">
        <v>99</v>
      </c>
      <c r="B1126" s="43">
        <v>1151006</v>
      </c>
      <c r="C1126" s="6" t="s">
        <v>2526</v>
      </c>
      <c r="D1126" s="25" t="s">
        <v>2467</v>
      </c>
      <c r="E1126" s="111" t="s">
        <v>2527</v>
      </c>
      <c r="F1126" s="4">
        <v>172208</v>
      </c>
      <c r="G1126" s="26">
        <v>1</v>
      </c>
      <c r="H1126" s="7">
        <v>45592</v>
      </c>
      <c r="J1126" s="4" t="s">
        <v>2528</v>
      </c>
    </row>
    <row r="1127" spans="1:10" thickTop="1" thickBot="1" x14ac:dyDescent="0.6">
      <c r="A1127" s="26">
        <v>100</v>
      </c>
      <c r="D1127" s="25" t="s">
        <v>2467</v>
      </c>
    </row>
    <row r="1128" spans="1:10" thickTop="1" thickBot="1" x14ac:dyDescent="0.6">
      <c r="A1128" s="26">
        <v>101</v>
      </c>
      <c r="D1128" s="25" t="s">
        <v>2467</v>
      </c>
    </row>
    <row r="1129" spans="1:10" thickTop="1" thickBot="1" x14ac:dyDescent="0.6">
      <c r="A1129" s="26">
        <v>102</v>
      </c>
      <c r="B1129" s="43">
        <v>1151349</v>
      </c>
      <c r="C1129" s="6" t="s">
        <v>2842</v>
      </c>
      <c r="D1129" s="25" t="s">
        <v>2467</v>
      </c>
      <c r="E1129" s="111" t="s">
        <v>2843</v>
      </c>
      <c r="F1129" s="4">
        <v>642598</v>
      </c>
      <c r="G1129" s="26">
        <v>1</v>
      </c>
      <c r="H1129" s="7">
        <v>45684</v>
      </c>
    </row>
    <row r="1130" spans="1:10" thickTop="1" thickBot="1" x14ac:dyDescent="0.6">
      <c r="A1130" s="26">
        <v>103</v>
      </c>
      <c r="D1130" s="25" t="s">
        <v>2467</v>
      </c>
    </row>
    <row r="1131" spans="1:10" thickTop="1" thickBot="1" x14ac:dyDescent="0.6">
      <c r="A1131" s="26">
        <v>104</v>
      </c>
      <c r="D1131" s="25" t="s">
        <v>2467</v>
      </c>
    </row>
    <row r="1132" spans="1:10" thickTop="1" thickBot="1" x14ac:dyDescent="0.6">
      <c r="A1132" s="26">
        <v>105</v>
      </c>
      <c r="B1132" s="43">
        <v>1151291</v>
      </c>
      <c r="C1132" s="6" t="s">
        <v>2529</v>
      </c>
      <c r="D1132" s="25" t="s">
        <v>2467</v>
      </c>
      <c r="E1132" s="111">
        <v>774282947</v>
      </c>
      <c r="F1132" s="4">
        <v>362940</v>
      </c>
      <c r="G1132" s="26">
        <v>1</v>
      </c>
      <c r="H1132" s="7">
        <v>45612</v>
      </c>
      <c r="J1132" s="4" t="s">
        <v>2530</v>
      </c>
    </row>
    <row r="1133" spans="1:10" thickTop="1" thickBot="1" x14ac:dyDescent="0.6">
      <c r="A1133" s="26">
        <v>106</v>
      </c>
      <c r="D1133" s="25" t="s">
        <v>2467</v>
      </c>
    </row>
    <row r="1134" spans="1:10" thickTop="1" thickBot="1" x14ac:dyDescent="0.6">
      <c r="A1134" s="26">
        <v>107</v>
      </c>
      <c r="B1134" s="43">
        <v>1151453</v>
      </c>
      <c r="C1134" s="6" t="s">
        <v>2894</v>
      </c>
      <c r="D1134" s="25" t="s">
        <v>2467</v>
      </c>
      <c r="E1134" s="111">
        <v>753491683</v>
      </c>
      <c r="F1134" s="4">
        <v>462807</v>
      </c>
      <c r="G1134" s="26">
        <v>1</v>
      </c>
      <c r="H1134" s="7">
        <v>45747</v>
      </c>
      <c r="J1134" s="4">
        <v>196634303210</v>
      </c>
    </row>
    <row r="1135" spans="1:10" thickTop="1" thickBot="1" x14ac:dyDescent="0.6">
      <c r="A1135" s="26">
        <v>108</v>
      </c>
      <c r="B1135" s="43">
        <v>1151503</v>
      </c>
      <c r="C1135" s="6" t="s">
        <v>3066</v>
      </c>
      <c r="D1135" s="25" t="s">
        <v>2467</v>
      </c>
      <c r="E1135" s="111" t="s">
        <v>3067</v>
      </c>
      <c r="F1135" s="4">
        <v>516941</v>
      </c>
      <c r="G1135" s="26">
        <v>1</v>
      </c>
      <c r="H1135" s="7">
        <v>45788</v>
      </c>
      <c r="J1135" s="4" t="s">
        <v>3068</v>
      </c>
    </row>
    <row r="1136" spans="1:10" thickTop="1" thickBot="1" x14ac:dyDescent="0.6">
      <c r="A1136" s="26">
        <v>109</v>
      </c>
      <c r="B1136" s="43">
        <v>1150448</v>
      </c>
      <c r="C1136" s="6" t="s">
        <v>3054</v>
      </c>
      <c r="D1136" s="25" t="s">
        <v>2467</v>
      </c>
      <c r="E1136" s="111" t="s">
        <v>3055</v>
      </c>
      <c r="F1136" s="4">
        <v>657273</v>
      </c>
      <c r="G1136" s="26">
        <v>1</v>
      </c>
      <c r="H1136" s="7">
        <v>45783</v>
      </c>
      <c r="J1136" s="4" t="s">
        <v>3056</v>
      </c>
    </row>
    <row r="1137" spans="1:10" thickTop="1" thickBot="1" x14ac:dyDescent="0.6">
      <c r="A1137" s="26">
        <v>110</v>
      </c>
      <c r="D1137" s="25" t="s">
        <v>2467</v>
      </c>
    </row>
    <row r="1138" spans="1:10" thickTop="1" thickBot="1" x14ac:dyDescent="0.6">
      <c r="A1138" s="26">
        <v>111</v>
      </c>
      <c r="B1138" s="43">
        <v>1150260</v>
      </c>
      <c r="C1138" s="6" t="s">
        <v>2531</v>
      </c>
      <c r="D1138" s="25" t="s">
        <v>2467</v>
      </c>
      <c r="E1138" s="111" t="s">
        <v>2532</v>
      </c>
      <c r="F1138" s="4">
        <v>518253</v>
      </c>
      <c r="G1138" s="26">
        <v>1</v>
      </c>
      <c r="J1138" s="4" t="s">
        <v>2478</v>
      </c>
    </row>
    <row r="1139" spans="1:10" thickTop="1" thickBot="1" x14ac:dyDescent="0.6">
      <c r="A1139" s="26">
        <v>112</v>
      </c>
      <c r="D1139" s="25" t="s">
        <v>2467</v>
      </c>
    </row>
    <row r="1140" spans="1:10" thickTop="1" thickBot="1" x14ac:dyDescent="0.6">
      <c r="A1140" s="26">
        <v>113</v>
      </c>
      <c r="D1140" s="25" t="s">
        <v>2467</v>
      </c>
    </row>
    <row r="1141" spans="1:10" thickTop="1" thickBot="1" x14ac:dyDescent="0.6">
      <c r="A1141" s="26">
        <v>114</v>
      </c>
      <c r="D1141" s="25" t="s">
        <v>2467</v>
      </c>
    </row>
    <row r="1142" spans="1:10" thickTop="1" thickBot="1" x14ac:dyDescent="0.6">
      <c r="A1142" s="26">
        <v>115</v>
      </c>
      <c r="D1142" s="25" t="s">
        <v>2467</v>
      </c>
    </row>
    <row r="1143" spans="1:10" thickTop="1" thickBot="1" x14ac:dyDescent="0.6">
      <c r="A1143" s="26">
        <v>116</v>
      </c>
      <c r="D1143" s="25" t="s">
        <v>2467</v>
      </c>
    </row>
    <row r="1144" spans="1:10" thickTop="1" thickBot="1" x14ac:dyDescent="0.6">
      <c r="A1144" s="26">
        <v>117</v>
      </c>
      <c r="B1144" s="43">
        <v>1151333</v>
      </c>
      <c r="C1144" s="6" t="s">
        <v>2533</v>
      </c>
      <c r="D1144" s="25" t="s">
        <v>2467</v>
      </c>
      <c r="E1144" s="111">
        <v>773022271</v>
      </c>
      <c r="F1144" s="4">
        <v>309776</v>
      </c>
      <c r="G1144" s="26">
        <v>1</v>
      </c>
      <c r="H1144" s="7">
        <v>45630</v>
      </c>
      <c r="J1144" s="4" t="s">
        <v>2534</v>
      </c>
    </row>
    <row r="1145" spans="1:10" thickTop="1" thickBot="1" x14ac:dyDescent="0.6">
      <c r="A1145" s="26">
        <v>118</v>
      </c>
      <c r="D1145" s="25" t="s">
        <v>2467</v>
      </c>
    </row>
    <row r="1146" spans="1:10" thickTop="1" thickBot="1" x14ac:dyDescent="0.6">
      <c r="A1146" s="26">
        <v>119</v>
      </c>
      <c r="D1146" s="25" t="s">
        <v>2467</v>
      </c>
    </row>
    <row r="1147" spans="1:10" thickTop="1" thickBot="1" x14ac:dyDescent="0.6">
      <c r="A1147" s="26">
        <v>120</v>
      </c>
      <c r="D1147" s="25" t="s">
        <v>2467</v>
      </c>
    </row>
    <row r="1148" spans="1:10" thickTop="1" thickBot="1" x14ac:dyDescent="0.6">
      <c r="A1148" s="26">
        <v>121</v>
      </c>
      <c r="D1148" s="25" t="s">
        <v>2467</v>
      </c>
    </row>
    <row r="1149" spans="1:10" thickTop="1" thickBot="1" x14ac:dyDescent="0.6">
      <c r="A1149" s="26">
        <v>122</v>
      </c>
      <c r="D1149" s="25" t="s">
        <v>2467</v>
      </c>
    </row>
    <row r="1150" spans="1:10" thickTop="1" thickBot="1" x14ac:dyDescent="0.6">
      <c r="A1150" s="26">
        <v>123</v>
      </c>
      <c r="D1150" s="25" t="s">
        <v>2467</v>
      </c>
    </row>
    <row r="1151" spans="1:10" thickTop="1" thickBot="1" x14ac:dyDescent="0.6">
      <c r="A1151" s="26">
        <v>124</v>
      </c>
      <c r="B1151" s="43">
        <v>1150855</v>
      </c>
      <c r="C1151" s="6" t="s">
        <v>2535</v>
      </c>
      <c r="D1151" s="25" t="s">
        <v>2467</v>
      </c>
      <c r="F1151" s="4">
        <v>290679</v>
      </c>
      <c r="G1151" s="26">
        <v>1</v>
      </c>
      <c r="H1151" s="7">
        <v>45649</v>
      </c>
    </row>
    <row r="1152" spans="1:10" thickTop="1" thickBot="1" x14ac:dyDescent="0.6">
      <c r="A1152" s="26">
        <v>125</v>
      </c>
      <c r="B1152" s="43">
        <v>1151546</v>
      </c>
      <c r="C1152" s="6" t="s">
        <v>3300</v>
      </c>
      <c r="D1152" s="25" t="s">
        <v>2467</v>
      </c>
      <c r="E1152" s="111">
        <v>775391018</v>
      </c>
      <c r="F1152" s="4">
        <v>414501</v>
      </c>
      <c r="G1152" s="26">
        <v>1</v>
      </c>
      <c r="H1152" s="7">
        <v>45838</v>
      </c>
      <c r="J1152" s="4" t="s">
        <v>3301</v>
      </c>
    </row>
    <row r="1153" spans="1:10" thickTop="1" thickBot="1" x14ac:dyDescent="0.6">
      <c r="A1153" s="26">
        <v>126</v>
      </c>
      <c r="D1153" s="25" t="s">
        <v>2467</v>
      </c>
    </row>
    <row r="1154" spans="1:10" thickTop="1" thickBot="1" x14ac:dyDescent="0.6">
      <c r="A1154" s="26">
        <v>127</v>
      </c>
      <c r="D1154" s="25" t="s">
        <v>2467</v>
      </c>
    </row>
    <row r="1155" spans="1:10" thickTop="1" thickBot="1" x14ac:dyDescent="0.6">
      <c r="A1155" s="26">
        <v>128</v>
      </c>
      <c r="D1155" s="25" t="s">
        <v>2467</v>
      </c>
    </row>
    <row r="1156" spans="1:10" thickTop="1" thickBot="1" x14ac:dyDescent="0.6">
      <c r="A1156" s="26">
        <v>129</v>
      </c>
      <c r="C1156" s="6" t="s">
        <v>3058</v>
      </c>
      <c r="D1156" s="25" t="s">
        <v>2467</v>
      </c>
      <c r="E1156" s="111" t="s">
        <v>3060</v>
      </c>
      <c r="F1156" s="4">
        <v>679848</v>
      </c>
      <c r="G1156" s="26">
        <v>1</v>
      </c>
      <c r="J1156" s="4" t="s">
        <v>3059</v>
      </c>
    </row>
    <row r="1157" spans="1:10" thickTop="1" thickBot="1" x14ac:dyDescent="0.6">
      <c r="A1157" s="26">
        <v>130</v>
      </c>
      <c r="D1157" s="25" t="s">
        <v>2467</v>
      </c>
    </row>
    <row r="1158" spans="1:10" thickTop="1" thickBot="1" x14ac:dyDescent="0.6">
      <c r="A1158" s="26">
        <v>131</v>
      </c>
      <c r="B1158" s="43">
        <v>1150725</v>
      </c>
      <c r="C1158" s="6" t="s">
        <v>2536</v>
      </c>
      <c r="D1158" s="25" t="s">
        <v>2467</v>
      </c>
      <c r="E1158" s="111">
        <v>772992173</v>
      </c>
      <c r="F1158" s="4">
        <v>123508</v>
      </c>
      <c r="G1158" s="26">
        <v>1</v>
      </c>
      <c r="H1158" s="7">
        <v>45483</v>
      </c>
      <c r="J1158" s="4">
        <v>199382504575</v>
      </c>
    </row>
    <row r="1159" spans="1:10" thickTop="1" thickBot="1" x14ac:dyDescent="0.6">
      <c r="A1159" s="26">
        <v>132</v>
      </c>
      <c r="D1159" s="25" t="s">
        <v>2467</v>
      </c>
    </row>
    <row r="1160" spans="1:10" thickTop="1" thickBot="1" x14ac:dyDescent="0.6">
      <c r="A1160" s="26">
        <v>133</v>
      </c>
      <c r="D1160" s="25" t="s">
        <v>2467</v>
      </c>
    </row>
    <row r="1161" spans="1:10" thickTop="1" thickBot="1" x14ac:dyDescent="0.6">
      <c r="A1161" s="26">
        <v>134</v>
      </c>
      <c r="D1161" s="25" t="s">
        <v>2467</v>
      </c>
    </row>
    <row r="1162" spans="1:10" thickTop="1" thickBot="1" x14ac:dyDescent="0.6">
      <c r="A1162" s="26">
        <v>135</v>
      </c>
      <c r="D1162" s="25" t="s">
        <v>2467</v>
      </c>
      <c r="H1162" s="8"/>
    </row>
    <row r="1163" spans="1:10" thickTop="1" thickBot="1" x14ac:dyDescent="0.6">
      <c r="A1163" s="26">
        <v>136</v>
      </c>
      <c r="D1163" s="25" t="s">
        <v>2467</v>
      </c>
    </row>
    <row r="1164" spans="1:10" thickTop="1" thickBot="1" x14ac:dyDescent="0.6">
      <c r="A1164" s="26">
        <v>137</v>
      </c>
      <c r="B1164" s="43">
        <v>1151392</v>
      </c>
      <c r="C1164" s="6" t="s">
        <v>2744</v>
      </c>
      <c r="D1164" s="25" t="s">
        <v>2467</v>
      </c>
      <c r="E1164" s="111" t="s">
        <v>2745</v>
      </c>
      <c r="F1164" s="4">
        <v>669658</v>
      </c>
      <c r="G1164" s="26">
        <v>1</v>
      </c>
      <c r="H1164" s="7">
        <v>45707</v>
      </c>
      <c r="J1164" s="4" t="s">
        <v>2746</v>
      </c>
    </row>
    <row r="1165" spans="1:10" thickTop="1" thickBot="1" x14ac:dyDescent="0.6">
      <c r="A1165" s="26">
        <v>138</v>
      </c>
      <c r="D1165" s="25" t="s">
        <v>2467</v>
      </c>
    </row>
    <row r="1166" spans="1:10" thickTop="1" thickBot="1" x14ac:dyDescent="0.6">
      <c r="A1166" s="26">
        <v>139</v>
      </c>
      <c r="D1166" s="25" t="s">
        <v>2467</v>
      </c>
    </row>
    <row r="1167" spans="1:10" thickTop="1" thickBot="1" x14ac:dyDescent="0.6">
      <c r="A1167" s="26">
        <v>140</v>
      </c>
      <c r="D1167" s="25" t="s">
        <v>2467</v>
      </c>
    </row>
    <row r="1168" spans="1:10" thickTop="1" thickBot="1" x14ac:dyDescent="0.6">
      <c r="A1168" s="26">
        <v>141</v>
      </c>
      <c r="B1168" s="43">
        <v>1151296</v>
      </c>
      <c r="C1168" s="6" t="s">
        <v>2537</v>
      </c>
      <c r="D1168" s="25" t="s">
        <v>2467</v>
      </c>
      <c r="E1168" s="111">
        <v>718882868</v>
      </c>
      <c r="F1168" s="4">
        <v>184468</v>
      </c>
      <c r="G1168" s="26">
        <v>1</v>
      </c>
      <c r="H1168" s="7">
        <v>45613</v>
      </c>
      <c r="J1168" s="4" t="s">
        <v>2538</v>
      </c>
    </row>
    <row r="1169" spans="1:10" thickTop="1" thickBot="1" x14ac:dyDescent="0.6">
      <c r="A1169" s="26">
        <v>142</v>
      </c>
      <c r="B1169" s="43">
        <v>1151336</v>
      </c>
      <c r="C1169" s="6" t="s">
        <v>2539</v>
      </c>
      <c r="D1169" s="25" t="s">
        <v>2467</v>
      </c>
      <c r="E1169" s="111">
        <v>764770787</v>
      </c>
      <c r="F1169" s="4">
        <v>346091</v>
      </c>
      <c r="G1169" s="26">
        <v>1</v>
      </c>
      <c r="H1169" s="7">
        <v>45632</v>
      </c>
      <c r="J1169" s="4" t="s">
        <v>2540</v>
      </c>
    </row>
    <row r="1170" spans="1:10" thickTop="1" thickBot="1" x14ac:dyDescent="0.6">
      <c r="A1170" s="26">
        <v>143</v>
      </c>
      <c r="D1170" s="25" t="s">
        <v>2467</v>
      </c>
    </row>
    <row r="1171" spans="1:10" thickTop="1" thickBot="1" x14ac:dyDescent="0.6">
      <c r="A1171" s="26">
        <v>144</v>
      </c>
      <c r="D1171" s="25" t="s">
        <v>2467</v>
      </c>
    </row>
    <row r="1172" spans="1:10" thickTop="1" thickBot="1" x14ac:dyDescent="0.6">
      <c r="A1172" s="26">
        <v>145</v>
      </c>
      <c r="D1172" s="25" t="s">
        <v>2467</v>
      </c>
    </row>
    <row r="1173" spans="1:10" thickTop="1" thickBot="1" x14ac:dyDescent="0.6">
      <c r="A1173" s="26">
        <v>146</v>
      </c>
      <c r="B1173" s="43">
        <v>1151476</v>
      </c>
      <c r="C1173" s="6" t="s">
        <v>2975</v>
      </c>
      <c r="D1173" s="25" t="s">
        <v>2467</v>
      </c>
      <c r="E1173" s="111">
        <v>774498542</v>
      </c>
      <c r="F1173" s="4">
        <v>574122</v>
      </c>
      <c r="G1173" s="26">
        <v>1</v>
      </c>
      <c r="H1173" s="7">
        <v>45760</v>
      </c>
      <c r="J1173" s="4" t="s">
        <v>2976</v>
      </c>
    </row>
    <row r="1174" spans="1:10" thickTop="1" thickBot="1" x14ac:dyDescent="0.6">
      <c r="A1174" s="26">
        <v>147</v>
      </c>
      <c r="B1174" s="43">
        <v>1150178</v>
      </c>
      <c r="C1174" s="6" t="s">
        <v>2541</v>
      </c>
      <c r="D1174" s="25" t="s">
        <v>2467</v>
      </c>
      <c r="F1174" s="4">
        <v>694799</v>
      </c>
      <c r="G1174" s="26">
        <v>1</v>
      </c>
      <c r="H1174" s="7">
        <v>45497</v>
      </c>
    </row>
    <row r="1175" spans="1:10" thickTop="1" thickBot="1" x14ac:dyDescent="0.6">
      <c r="A1175" s="26">
        <v>148</v>
      </c>
      <c r="D1175" s="25" t="s">
        <v>2467</v>
      </c>
    </row>
    <row r="1176" spans="1:10" thickTop="1" thickBot="1" x14ac:dyDescent="0.6">
      <c r="A1176" s="26">
        <v>149</v>
      </c>
      <c r="D1176" s="25" t="s">
        <v>2467</v>
      </c>
    </row>
    <row r="1177" spans="1:10" thickTop="1" thickBot="1" x14ac:dyDescent="0.6">
      <c r="A1177" s="26">
        <v>150</v>
      </c>
      <c r="D1177" s="25" t="s">
        <v>2467</v>
      </c>
    </row>
    <row r="1178" spans="1:10" thickTop="1" thickBot="1" x14ac:dyDescent="0.6">
      <c r="A1178" s="26">
        <v>151</v>
      </c>
      <c r="D1178" s="25" t="s">
        <v>2467</v>
      </c>
    </row>
    <row r="1179" spans="1:10" thickTop="1" thickBot="1" x14ac:dyDescent="0.6">
      <c r="A1179" s="26">
        <v>152</v>
      </c>
      <c r="D1179" s="25" t="s">
        <v>2467</v>
      </c>
    </row>
    <row r="1180" spans="1:10" thickTop="1" thickBot="1" x14ac:dyDescent="0.6">
      <c r="A1180" s="26">
        <v>153</v>
      </c>
      <c r="B1180" s="43">
        <v>1151594</v>
      </c>
      <c r="C1180" s="6" t="s">
        <v>3395</v>
      </c>
      <c r="D1180" s="25" t="s">
        <v>2467</v>
      </c>
      <c r="E1180" s="111">
        <v>778597038</v>
      </c>
      <c r="F1180" s="4">
        <v>736267</v>
      </c>
      <c r="G1180" s="26">
        <v>1</v>
      </c>
      <c r="H1180" s="7">
        <v>45943</v>
      </c>
      <c r="J1180" s="4" t="s">
        <v>3396</v>
      </c>
    </row>
    <row r="1181" spans="1:10" thickTop="1" thickBot="1" x14ac:dyDescent="0.6">
      <c r="A1181" s="26">
        <v>154</v>
      </c>
      <c r="D1181" s="25" t="s">
        <v>2467</v>
      </c>
    </row>
    <row r="1182" spans="1:10" thickTop="1" thickBot="1" x14ac:dyDescent="0.6">
      <c r="A1182" s="26">
        <v>155</v>
      </c>
      <c r="B1182" s="43">
        <v>1151129</v>
      </c>
      <c r="C1182" s="6" t="s">
        <v>2542</v>
      </c>
      <c r="D1182" s="25" t="s">
        <v>2467</v>
      </c>
      <c r="E1182" s="111">
        <v>713163265</v>
      </c>
      <c r="F1182" s="4">
        <v>197205</v>
      </c>
      <c r="G1182" s="26">
        <v>1</v>
      </c>
      <c r="H1182" s="7">
        <v>45604</v>
      </c>
      <c r="J1182" s="4" t="s">
        <v>2543</v>
      </c>
    </row>
    <row r="1183" spans="1:10" thickTop="1" thickBot="1" x14ac:dyDescent="0.6">
      <c r="A1183" s="26">
        <v>156</v>
      </c>
      <c r="D1183" s="25" t="s">
        <v>2467</v>
      </c>
    </row>
    <row r="1184" spans="1:10" thickTop="1" thickBot="1" x14ac:dyDescent="0.6">
      <c r="A1184" s="26">
        <v>157</v>
      </c>
      <c r="B1184" s="43">
        <v>1151014</v>
      </c>
      <c r="C1184" s="6" t="s">
        <v>2544</v>
      </c>
      <c r="D1184" s="25" t="s">
        <v>2467</v>
      </c>
      <c r="E1184" s="111">
        <v>769292743</v>
      </c>
      <c r="F1184" s="4">
        <v>222441</v>
      </c>
      <c r="G1184" s="26">
        <v>1</v>
      </c>
      <c r="H1184" s="7">
        <v>45593</v>
      </c>
      <c r="J1184" s="4" t="s">
        <v>2545</v>
      </c>
    </row>
    <row r="1185" spans="1:10" thickTop="1" thickBot="1" x14ac:dyDescent="0.6">
      <c r="A1185" s="26">
        <v>158</v>
      </c>
      <c r="D1185" s="25" t="s">
        <v>2467</v>
      </c>
    </row>
    <row r="1186" spans="1:10" thickTop="1" thickBot="1" x14ac:dyDescent="0.6">
      <c r="A1186" s="26">
        <v>159</v>
      </c>
      <c r="D1186" s="25" t="s">
        <v>2467</v>
      </c>
    </row>
    <row r="1187" spans="1:10" thickTop="1" thickBot="1" x14ac:dyDescent="0.6">
      <c r="A1187" s="26">
        <v>160</v>
      </c>
      <c r="D1187" s="25" t="s">
        <v>2467</v>
      </c>
    </row>
    <row r="1188" spans="1:10" thickTop="1" thickBot="1" x14ac:dyDescent="0.6">
      <c r="A1188" s="26">
        <v>161</v>
      </c>
      <c r="D1188" s="25" t="s">
        <v>2467</v>
      </c>
    </row>
    <row r="1189" spans="1:10" thickTop="1" thickBot="1" x14ac:dyDescent="0.6">
      <c r="A1189" s="26">
        <v>162</v>
      </c>
      <c r="D1189" s="25" t="s">
        <v>2467</v>
      </c>
    </row>
    <row r="1190" spans="1:10" thickTop="1" thickBot="1" x14ac:dyDescent="0.6">
      <c r="A1190" s="26">
        <v>163</v>
      </c>
      <c r="D1190" s="25" t="s">
        <v>2467</v>
      </c>
    </row>
    <row r="1191" spans="1:10" thickTop="1" thickBot="1" x14ac:dyDescent="0.6">
      <c r="A1191" s="26">
        <v>164</v>
      </c>
      <c r="B1191" s="43">
        <v>1150744</v>
      </c>
      <c r="C1191" s="6" t="s">
        <v>2546</v>
      </c>
      <c r="D1191" s="25" t="s">
        <v>2467</v>
      </c>
      <c r="E1191" s="111">
        <v>766648477</v>
      </c>
      <c r="F1191" s="4">
        <v>142060</v>
      </c>
      <c r="G1191" s="26">
        <v>1</v>
      </c>
      <c r="H1191" s="7">
        <v>45492</v>
      </c>
      <c r="J1191" s="4">
        <v>197419702050</v>
      </c>
    </row>
    <row r="1192" spans="1:10" thickTop="1" thickBot="1" x14ac:dyDescent="0.6">
      <c r="A1192" s="26">
        <v>165</v>
      </c>
      <c r="B1192" s="43">
        <v>1151598</v>
      </c>
      <c r="C1192" s="6" t="s">
        <v>3412</v>
      </c>
      <c r="D1192" s="25" t="s">
        <v>2467</v>
      </c>
      <c r="E1192" s="111">
        <v>761108858</v>
      </c>
      <c r="F1192" s="4">
        <v>691983</v>
      </c>
      <c r="G1192" s="26">
        <v>1</v>
      </c>
      <c r="H1192" s="7">
        <v>45954</v>
      </c>
      <c r="J1192" s="4" t="s">
        <v>3413</v>
      </c>
    </row>
    <row r="1193" spans="1:10" thickTop="1" thickBot="1" x14ac:dyDescent="0.6">
      <c r="A1193" s="26">
        <v>166</v>
      </c>
      <c r="D1193" s="25" t="s">
        <v>2467</v>
      </c>
    </row>
    <row r="1194" spans="1:10" thickTop="1" thickBot="1" x14ac:dyDescent="0.6">
      <c r="A1194" s="26">
        <v>167</v>
      </c>
      <c r="D1194" s="25" t="s">
        <v>2467</v>
      </c>
    </row>
    <row r="1195" spans="1:10" thickTop="1" thickBot="1" x14ac:dyDescent="0.6">
      <c r="A1195" s="26">
        <v>168</v>
      </c>
      <c r="B1195" s="43">
        <v>1151160</v>
      </c>
      <c r="C1195" s="6" t="s">
        <v>2547</v>
      </c>
      <c r="D1195" s="25" t="s">
        <v>2467</v>
      </c>
      <c r="E1195" s="111">
        <v>774490589</v>
      </c>
      <c r="F1195" s="4">
        <v>310527</v>
      </c>
      <c r="G1195" s="26">
        <v>1</v>
      </c>
      <c r="H1195" s="7">
        <v>45605</v>
      </c>
      <c r="J1195" s="4">
        <v>196181804056</v>
      </c>
    </row>
    <row r="1196" spans="1:10" thickTop="1" thickBot="1" x14ac:dyDescent="0.6">
      <c r="A1196" s="26">
        <v>169</v>
      </c>
      <c r="D1196" s="25" t="s">
        <v>2467</v>
      </c>
    </row>
    <row r="1197" spans="1:10" thickTop="1" thickBot="1" x14ac:dyDescent="0.6">
      <c r="A1197" s="26">
        <v>170</v>
      </c>
      <c r="B1197" s="43">
        <v>1151487</v>
      </c>
      <c r="C1197" s="6" t="s">
        <v>2999</v>
      </c>
      <c r="D1197" s="25" t="s">
        <v>2467</v>
      </c>
      <c r="E1197" s="111" t="s">
        <v>3000</v>
      </c>
      <c r="F1197" s="4">
        <v>614787</v>
      </c>
      <c r="G1197" s="26">
        <v>1</v>
      </c>
      <c r="H1197" s="7">
        <v>45767</v>
      </c>
      <c r="J1197" s="4" t="s">
        <v>3001</v>
      </c>
    </row>
    <row r="1198" spans="1:10" thickTop="1" thickBot="1" x14ac:dyDescent="0.6">
      <c r="A1198" s="26">
        <v>171</v>
      </c>
      <c r="D1198" s="25" t="s">
        <v>2467</v>
      </c>
    </row>
    <row r="1199" spans="1:10" thickTop="1" thickBot="1" x14ac:dyDescent="0.6">
      <c r="A1199" s="26">
        <v>172</v>
      </c>
      <c r="B1199" s="43">
        <v>1151310</v>
      </c>
      <c r="C1199" s="6" t="s">
        <v>2548</v>
      </c>
      <c r="D1199" s="25" t="s">
        <v>2467</v>
      </c>
      <c r="E1199" s="111">
        <v>765937833</v>
      </c>
      <c r="F1199" s="4">
        <v>321458</v>
      </c>
      <c r="G1199" s="26">
        <v>1</v>
      </c>
      <c r="H1199" s="7">
        <v>45620</v>
      </c>
      <c r="J1199" s="4" t="s">
        <v>2549</v>
      </c>
    </row>
    <row r="1200" spans="1:10" thickTop="1" thickBot="1" x14ac:dyDescent="0.6">
      <c r="A1200" s="26">
        <v>173</v>
      </c>
      <c r="D1200" s="25" t="s">
        <v>2467</v>
      </c>
    </row>
    <row r="1201" spans="1:10" thickTop="1" thickBot="1" x14ac:dyDescent="0.6">
      <c r="A1201" s="26">
        <v>174</v>
      </c>
      <c r="D1201" s="25" t="s">
        <v>2467</v>
      </c>
    </row>
    <row r="1202" spans="1:10" thickTop="1" thickBot="1" x14ac:dyDescent="0.6">
      <c r="A1202" s="26">
        <v>175</v>
      </c>
      <c r="D1202" s="25" t="s">
        <v>2467</v>
      </c>
    </row>
    <row r="1203" spans="1:10" thickTop="1" thickBot="1" x14ac:dyDescent="0.6">
      <c r="A1203" s="26">
        <v>176</v>
      </c>
      <c r="D1203" s="25" t="s">
        <v>2467</v>
      </c>
    </row>
    <row r="1204" spans="1:10" thickTop="1" thickBot="1" x14ac:dyDescent="0.6">
      <c r="A1204" s="26">
        <v>177</v>
      </c>
      <c r="D1204" s="25" t="s">
        <v>2467</v>
      </c>
    </row>
    <row r="1205" spans="1:10" thickTop="1" thickBot="1" x14ac:dyDescent="0.6">
      <c r="A1205" s="26">
        <v>178</v>
      </c>
      <c r="D1205" s="25" t="s">
        <v>2467</v>
      </c>
    </row>
    <row r="1206" spans="1:10" thickTop="1" thickBot="1" x14ac:dyDescent="0.6">
      <c r="A1206" s="26">
        <v>179</v>
      </c>
      <c r="D1206" s="25" t="s">
        <v>2467</v>
      </c>
    </row>
    <row r="1207" spans="1:10" thickTop="1" thickBot="1" x14ac:dyDescent="0.6">
      <c r="A1207" s="26">
        <v>180</v>
      </c>
      <c r="D1207" s="25" t="s">
        <v>2467</v>
      </c>
    </row>
    <row r="1208" spans="1:10" thickTop="1" thickBot="1" x14ac:dyDescent="0.6">
      <c r="A1208" s="26">
        <v>1</v>
      </c>
      <c r="B1208" s="43">
        <v>1150120</v>
      </c>
      <c r="C1208" s="6" t="s">
        <v>2550</v>
      </c>
      <c r="D1208" s="25" t="s">
        <v>2552</v>
      </c>
      <c r="F1208" s="4">
        <v>731279</v>
      </c>
      <c r="G1208" s="26">
        <v>1</v>
      </c>
      <c r="I1208" s="7">
        <v>45008</v>
      </c>
      <c r="J1208" s="5" t="s">
        <v>2551</v>
      </c>
    </row>
    <row r="1209" spans="1:10" thickTop="1" thickBot="1" x14ac:dyDescent="0.6">
      <c r="A1209" s="26">
        <v>2</v>
      </c>
      <c r="B1209" s="43">
        <v>1150689</v>
      </c>
      <c r="C1209" s="6" t="s">
        <v>2553</v>
      </c>
      <c r="D1209" s="25" t="s">
        <v>2552</v>
      </c>
      <c r="E1209" s="111">
        <v>729922767</v>
      </c>
      <c r="F1209" s="4">
        <v>116197</v>
      </c>
      <c r="G1209" s="26">
        <v>1</v>
      </c>
      <c r="H1209" s="7">
        <v>45468</v>
      </c>
      <c r="J1209" s="4">
        <v>200077004386</v>
      </c>
    </row>
    <row r="1210" spans="1:10" thickTop="1" thickBot="1" x14ac:dyDescent="0.6">
      <c r="A1210" s="26">
        <v>3</v>
      </c>
      <c r="B1210" s="43">
        <v>1150705</v>
      </c>
      <c r="C1210" s="6" t="s">
        <v>2554</v>
      </c>
      <c r="D1210" s="25" t="s">
        <v>2552</v>
      </c>
      <c r="E1210" s="111">
        <v>515616508</v>
      </c>
      <c r="F1210" s="4" t="str">
        <f>"0"&amp;96118</f>
        <v>096118</v>
      </c>
      <c r="G1210" s="26">
        <v>1</v>
      </c>
      <c r="H1210" s="7">
        <v>45468</v>
      </c>
      <c r="J1210" s="4" t="s">
        <v>2555</v>
      </c>
    </row>
    <row r="1211" spans="1:10" thickTop="1" thickBot="1" x14ac:dyDescent="0.6">
      <c r="A1211" s="26">
        <v>4</v>
      </c>
      <c r="B1211" s="43">
        <v>1151039</v>
      </c>
      <c r="C1211" s="6" t="s">
        <v>2556</v>
      </c>
      <c r="D1211" s="25" t="s">
        <v>2552</v>
      </c>
      <c r="E1211" s="111" t="s">
        <v>2557</v>
      </c>
      <c r="F1211" s="4">
        <v>356447</v>
      </c>
      <c r="G1211" s="26">
        <v>1</v>
      </c>
      <c r="H1211" s="7">
        <v>45595</v>
      </c>
      <c r="J1211" s="4" t="s">
        <v>2558</v>
      </c>
    </row>
    <row r="1212" spans="1:10" thickTop="1" thickBot="1" x14ac:dyDescent="0.6">
      <c r="A1212" s="26">
        <v>5</v>
      </c>
      <c r="B1212" s="43">
        <v>1150664</v>
      </c>
      <c r="C1212" s="6" t="s">
        <v>2559</v>
      </c>
      <c r="D1212" s="25" t="s">
        <v>2552</v>
      </c>
      <c r="E1212" s="111" t="s">
        <v>2560</v>
      </c>
      <c r="F1212" s="4">
        <v>123219</v>
      </c>
      <c r="G1212" s="26">
        <v>1</v>
      </c>
      <c r="H1212" s="7">
        <v>45403</v>
      </c>
      <c r="J1212" s="4" t="s">
        <v>2561</v>
      </c>
    </row>
    <row r="1213" spans="1:10" thickTop="1" thickBot="1" x14ac:dyDescent="0.6">
      <c r="A1213" s="26">
        <v>6</v>
      </c>
      <c r="D1213" s="25" t="s">
        <v>2552</v>
      </c>
    </row>
    <row r="1214" spans="1:10" thickTop="1" thickBot="1" x14ac:dyDescent="0.6">
      <c r="A1214" s="26">
        <v>7</v>
      </c>
      <c r="B1214" s="43">
        <v>1151473</v>
      </c>
      <c r="C1214" s="6" t="s">
        <v>2974</v>
      </c>
      <c r="D1214" s="25" t="s">
        <v>2552</v>
      </c>
      <c r="E1214" s="111">
        <v>713376246</v>
      </c>
      <c r="F1214" s="4">
        <v>537111</v>
      </c>
      <c r="G1214" s="26">
        <v>1</v>
      </c>
      <c r="H1214" s="7">
        <v>45760</v>
      </c>
      <c r="J1214" s="4">
        <v>197520901927</v>
      </c>
    </row>
    <row r="1215" spans="1:10" thickTop="1" thickBot="1" x14ac:dyDescent="0.6">
      <c r="A1215" s="26">
        <v>8</v>
      </c>
      <c r="D1215" s="25" t="s">
        <v>2552</v>
      </c>
    </row>
    <row r="1216" spans="1:10" thickTop="1" thickBot="1" x14ac:dyDescent="0.6">
      <c r="A1216" s="26">
        <v>9</v>
      </c>
      <c r="B1216" s="43">
        <v>1150935</v>
      </c>
      <c r="C1216" s="6" t="s">
        <v>2097</v>
      </c>
      <c r="D1216" s="25" t="s">
        <v>2552</v>
      </c>
      <c r="E1216" s="111">
        <v>767373723</v>
      </c>
      <c r="F1216" s="4">
        <v>383466</v>
      </c>
      <c r="G1216" s="26">
        <v>1</v>
      </c>
      <c r="H1216" s="7">
        <v>45580</v>
      </c>
      <c r="J1216" s="4" t="s">
        <v>2562</v>
      </c>
    </row>
    <row r="1217" spans="1:10" thickTop="1" thickBot="1" x14ac:dyDescent="0.6">
      <c r="A1217" s="26">
        <v>10</v>
      </c>
      <c r="D1217" s="25" t="s">
        <v>2552</v>
      </c>
    </row>
    <row r="1218" spans="1:10" thickTop="1" thickBot="1" x14ac:dyDescent="0.6">
      <c r="A1218" s="26">
        <v>11</v>
      </c>
      <c r="B1218" s="43">
        <v>1150447</v>
      </c>
      <c r="C1218" s="6" t="s">
        <v>2563</v>
      </c>
      <c r="D1218" s="25" t="s">
        <v>2552</v>
      </c>
      <c r="E1218" s="111">
        <v>767580610</v>
      </c>
      <c r="F1218" s="4">
        <v>673695</v>
      </c>
      <c r="G1218" s="26">
        <v>1</v>
      </c>
      <c r="I1218" s="7">
        <v>45019</v>
      </c>
      <c r="J1218" s="5">
        <v>200067204383</v>
      </c>
    </row>
    <row r="1219" spans="1:10" thickTop="1" thickBot="1" x14ac:dyDescent="0.6">
      <c r="A1219" s="26">
        <v>12</v>
      </c>
      <c r="B1219" s="43">
        <v>1151575</v>
      </c>
      <c r="C1219" s="6" t="s">
        <v>3340</v>
      </c>
      <c r="D1219" s="25" t="s">
        <v>2552</v>
      </c>
      <c r="E1219" s="111" t="s">
        <v>3341</v>
      </c>
      <c r="F1219" s="4">
        <v>528367</v>
      </c>
      <c r="G1219" s="26">
        <v>1</v>
      </c>
      <c r="H1219" s="7">
        <v>45901</v>
      </c>
      <c r="J1219" s="4">
        <v>198331602411</v>
      </c>
    </row>
    <row r="1220" spans="1:10" thickTop="1" thickBot="1" x14ac:dyDescent="0.6">
      <c r="A1220" s="26">
        <v>13</v>
      </c>
      <c r="D1220" s="25" t="s">
        <v>2552</v>
      </c>
    </row>
    <row r="1221" spans="1:10" thickTop="1" thickBot="1" x14ac:dyDescent="0.6">
      <c r="A1221" s="26">
        <v>14</v>
      </c>
      <c r="D1221" s="25" t="s">
        <v>2552</v>
      </c>
    </row>
    <row r="1222" spans="1:10" thickTop="1" thickBot="1" x14ac:dyDescent="0.6">
      <c r="A1222" s="26">
        <v>15</v>
      </c>
      <c r="D1222" s="25" t="s">
        <v>2552</v>
      </c>
    </row>
    <row r="1223" spans="1:10" thickTop="1" thickBot="1" x14ac:dyDescent="0.6">
      <c r="A1223" s="26">
        <v>16</v>
      </c>
      <c r="B1223" s="43">
        <v>1150565</v>
      </c>
      <c r="C1223" s="6" t="s">
        <v>2564</v>
      </c>
      <c r="D1223" s="25" t="s">
        <v>2552</v>
      </c>
      <c r="E1223" s="111" t="s">
        <v>2565</v>
      </c>
      <c r="F1223" s="4" t="str">
        <f>"0"&amp;93651</f>
        <v>093651</v>
      </c>
      <c r="G1223" s="26">
        <v>1</v>
      </c>
      <c r="H1223" s="7">
        <v>45317</v>
      </c>
      <c r="J1223" s="4">
        <v>196014504084</v>
      </c>
    </row>
    <row r="1224" spans="1:10" thickTop="1" thickBot="1" x14ac:dyDescent="0.6">
      <c r="A1224" s="26">
        <v>17</v>
      </c>
      <c r="B1224" s="43">
        <v>1150939</v>
      </c>
      <c r="C1224" s="6" t="s">
        <v>2566</v>
      </c>
      <c r="D1224" s="25" t="s">
        <v>2552</v>
      </c>
      <c r="E1224" s="111">
        <v>768062976</v>
      </c>
      <c r="F1224" s="4">
        <v>215437</v>
      </c>
      <c r="G1224" s="26">
        <v>1</v>
      </c>
      <c r="H1224" s="7">
        <v>45580</v>
      </c>
      <c r="J1224" s="4" t="s">
        <v>2567</v>
      </c>
    </row>
    <row r="1225" spans="1:10" thickTop="1" thickBot="1" x14ac:dyDescent="0.6">
      <c r="A1225" s="26">
        <v>18</v>
      </c>
      <c r="B1225" s="43">
        <v>1150620</v>
      </c>
      <c r="C1225" s="6" t="s">
        <v>2568</v>
      </c>
      <c r="D1225" s="25" t="s">
        <v>2552</v>
      </c>
      <c r="E1225" s="111">
        <v>711678619</v>
      </c>
      <c r="F1225" s="4" t="str">
        <f>"0"&amp;74859</f>
        <v>074859</v>
      </c>
      <c r="G1225" s="26">
        <v>1</v>
      </c>
      <c r="H1225" s="7">
        <v>45316</v>
      </c>
      <c r="J1225" s="4" t="s">
        <v>2569</v>
      </c>
    </row>
    <row r="1226" spans="1:10" thickTop="1" thickBot="1" x14ac:dyDescent="0.6">
      <c r="A1226" s="26">
        <v>19</v>
      </c>
      <c r="B1226" s="43">
        <v>1150986</v>
      </c>
      <c r="C1226" s="6" t="s">
        <v>2570</v>
      </c>
      <c r="D1226" s="25" t="s">
        <v>2552</v>
      </c>
      <c r="E1226" s="111" t="s">
        <v>2571</v>
      </c>
      <c r="F1226" s="4">
        <v>276066</v>
      </c>
      <c r="G1226" s="26">
        <v>1</v>
      </c>
      <c r="H1226" s="7">
        <v>45590</v>
      </c>
      <c r="J1226" s="4">
        <v>196926303547</v>
      </c>
    </row>
    <row r="1227" spans="1:10" thickTop="1" thickBot="1" x14ac:dyDescent="0.6">
      <c r="A1227" s="26">
        <v>20</v>
      </c>
      <c r="B1227" s="43">
        <v>1151430</v>
      </c>
      <c r="C1227" s="6" t="s">
        <v>2829</v>
      </c>
      <c r="D1227" s="25" t="s">
        <v>2552</v>
      </c>
      <c r="E1227" s="111">
        <v>762798027</v>
      </c>
      <c r="F1227" s="4">
        <v>599483</v>
      </c>
      <c r="G1227" s="26">
        <v>1</v>
      </c>
      <c r="H1227" s="7">
        <v>45732</v>
      </c>
      <c r="J1227" s="4" t="s">
        <v>2830</v>
      </c>
    </row>
    <row r="1228" spans="1:10" thickTop="1" thickBot="1" x14ac:dyDescent="0.6">
      <c r="A1228" s="26">
        <v>21</v>
      </c>
      <c r="B1228" s="43">
        <v>1150824</v>
      </c>
      <c r="C1228" s="6" t="s">
        <v>2572</v>
      </c>
      <c r="D1228" s="25" t="s">
        <v>2552</v>
      </c>
      <c r="F1228" s="4">
        <v>736450</v>
      </c>
      <c r="G1228" s="26">
        <v>1</v>
      </c>
      <c r="H1228" s="7">
        <v>45541</v>
      </c>
    </row>
    <row r="1229" spans="1:10" thickTop="1" thickBot="1" x14ac:dyDescent="0.6">
      <c r="A1229" s="26">
        <v>22</v>
      </c>
      <c r="B1229" s="43">
        <v>1151206</v>
      </c>
      <c r="C1229" s="6" t="s">
        <v>2635</v>
      </c>
      <c r="D1229" s="25" t="s">
        <v>2552</v>
      </c>
      <c r="E1229" s="111">
        <v>769134250</v>
      </c>
      <c r="F1229" s="4">
        <v>345887</v>
      </c>
      <c r="G1229" s="26">
        <v>1</v>
      </c>
      <c r="H1229" s="7">
        <v>45607</v>
      </c>
      <c r="I1229" s="4" t="s">
        <v>2636</v>
      </c>
      <c r="J1229" s="6"/>
    </row>
    <row r="1230" spans="1:10" thickTop="1" thickBot="1" x14ac:dyDescent="0.6">
      <c r="A1230" s="26">
        <v>23</v>
      </c>
      <c r="B1230" s="43">
        <v>1151256</v>
      </c>
      <c r="C1230" s="6" t="s">
        <v>2573</v>
      </c>
      <c r="D1230" s="25" t="s">
        <v>2552</v>
      </c>
      <c r="E1230" s="111" t="s">
        <v>2574</v>
      </c>
      <c r="F1230" s="4">
        <v>290208</v>
      </c>
      <c r="G1230" s="26">
        <v>1</v>
      </c>
      <c r="H1230" s="7">
        <v>45609</v>
      </c>
      <c r="J1230" s="4" t="s">
        <v>2575</v>
      </c>
    </row>
    <row r="1231" spans="1:10" thickTop="1" thickBot="1" x14ac:dyDescent="0.6">
      <c r="A1231" s="26">
        <v>24</v>
      </c>
      <c r="D1231" s="25" t="s">
        <v>2552</v>
      </c>
    </row>
    <row r="1232" spans="1:10" thickTop="1" thickBot="1" x14ac:dyDescent="0.6">
      <c r="A1232" s="26">
        <v>25</v>
      </c>
      <c r="D1232" s="25" t="s">
        <v>2552</v>
      </c>
    </row>
    <row r="1233" spans="1:10" thickTop="1" thickBot="1" x14ac:dyDescent="0.6">
      <c r="A1233" s="26">
        <v>26</v>
      </c>
      <c r="B1233" s="43">
        <v>1150940</v>
      </c>
      <c r="C1233" s="6" t="s">
        <v>2576</v>
      </c>
      <c r="D1233" s="25" t="s">
        <v>2552</v>
      </c>
      <c r="E1233" s="111">
        <v>716584554</v>
      </c>
      <c r="F1233" s="4">
        <v>366263</v>
      </c>
      <c r="G1233" s="26">
        <v>1</v>
      </c>
      <c r="H1233" s="7">
        <v>45580</v>
      </c>
      <c r="J1233" s="4" t="s">
        <v>2197</v>
      </c>
    </row>
    <row r="1234" spans="1:10" thickTop="1" thickBot="1" x14ac:dyDescent="0.6">
      <c r="A1234" s="26">
        <v>27</v>
      </c>
      <c r="B1234" s="43">
        <v>1151271</v>
      </c>
      <c r="C1234" s="6" t="s">
        <v>2577</v>
      </c>
      <c r="D1234" s="25" t="s">
        <v>2552</v>
      </c>
      <c r="E1234" s="111">
        <v>762243486</v>
      </c>
      <c r="F1234" s="4">
        <v>205602</v>
      </c>
      <c r="G1234" s="26">
        <v>1</v>
      </c>
      <c r="H1234" s="7">
        <v>45610</v>
      </c>
    </row>
    <row r="1235" spans="1:10" thickTop="1" thickBot="1" x14ac:dyDescent="0.6">
      <c r="A1235" s="26">
        <v>28</v>
      </c>
      <c r="D1235" s="25" t="s">
        <v>2552</v>
      </c>
    </row>
    <row r="1236" spans="1:10" thickTop="1" thickBot="1" x14ac:dyDescent="0.6">
      <c r="A1236" s="26">
        <v>29</v>
      </c>
      <c r="B1236" s="43">
        <v>1150859</v>
      </c>
      <c r="C1236" s="6" t="s">
        <v>2003</v>
      </c>
      <c r="D1236" s="25" t="s">
        <v>2552</v>
      </c>
      <c r="E1236" s="111" t="s">
        <v>2578</v>
      </c>
      <c r="F1236" s="4">
        <v>274327</v>
      </c>
      <c r="G1236" s="26">
        <v>1</v>
      </c>
      <c r="H1236" s="7">
        <v>45567</v>
      </c>
      <c r="J1236" s="4" t="s">
        <v>2579</v>
      </c>
    </row>
    <row r="1237" spans="1:10" thickTop="1" thickBot="1" x14ac:dyDescent="0.6">
      <c r="A1237" s="26">
        <v>30</v>
      </c>
      <c r="B1237" s="43">
        <v>1151569</v>
      </c>
      <c r="C1237" s="6" t="s">
        <v>3319</v>
      </c>
      <c r="D1237" s="25" t="s">
        <v>2552</v>
      </c>
      <c r="E1237" s="111" t="s">
        <v>3320</v>
      </c>
      <c r="F1237" s="4">
        <v>470560</v>
      </c>
      <c r="G1237" s="26">
        <v>1</v>
      </c>
      <c r="H1237" s="7">
        <v>45884</v>
      </c>
      <c r="J1237" s="4" t="s">
        <v>3321</v>
      </c>
    </row>
    <row r="1238" spans="1:10" thickTop="1" thickBot="1" x14ac:dyDescent="0.6">
      <c r="A1238" s="26">
        <v>31</v>
      </c>
      <c r="B1238" s="43">
        <v>1151255</v>
      </c>
      <c r="C1238" s="6" t="s">
        <v>2580</v>
      </c>
      <c r="D1238" s="25" t="s">
        <v>2552</v>
      </c>
      <c r="E1238" s="111">
        <v>775458273</v>
      </c>
      <c r="F1238" s="4">
        <v>391949</v>
      </c>
      <c r="G1238" s="26">
        <v>1</v>
      </c>
      <c r="H1238" s="7">
        <v>45609</v>
      </c>
      <c r="J1238" s="4">
        <v>200403110892</v>
      </c>
    </row>
    <row r="1239" spans="1:10" thickTop="1" thickBot="1" x14ac:dyDescent="0.6">
      <c r="A1239" s="26">
        <v>32</v>
      </c>
      <c r="B1239" s="43">
        <v>1151423</v>
      </c>
      <c r="C1239" s="6" t="s">
        <v>2812</v>
      </c>
      <c r="D1239" s="25" t="s">
        <v>2552</v>
      </c>
      <c r="E1239" s="111">
        <v>772758502</v>
      </c>
      <c r="F1239" s="4">
        <v>523269</v>
      </c>
      <c r="G1239" s="26">
        <v>1</v>
      </c>
      <c r="H1239" s="7">
        <v>45726</v>
      </c>
      <c r="J1239" s="4" t="s">
        <v>2813</v>
      </c>
    </row>
    <row r="1240" spans="1:10" thickTop="1" thickBot="1" x14ac:dyDescent="0.6">
      <c r="A1240" s="26">
        <v>33</v>
      </c>
      <c r="D1240" s="25" t="s">
        <v>2552</v>
      </c>
    </row>
    <row r="1241" spans="1:10" thickTop="1" thickBot="1" x14ac:dyDescent="0.6">
      <c r="A1241" s="26">
        <v>34</v>
      </c>
      <c r="B1241" s="43">
        <v>1150821</v>
      </c>
      <c r="C1241" s="6" t="s">
        <v>2581</v>
      </c>
      <c r="D1241" s="25" t="s">
        <v>2552</v>
      </c>
      <c r="E1241" s="111">
        <v>774245996</v>
      </c>
      <c r="F1241" s="4">
        <v>119605</v>
      </c>
      <c r="G1241" s="26">
        <v>1</v>
      </c>
      <c r="H1241" s="7">
        <v>45541</v>
      </c>
      <c r="J1241" s="4" t="s">
        <v>2582</v>
      </c>
    </row>
    <row r="1242" spans="1:10" thickTop="1" thickBot="1" x14ac:dyDescent="0.6">
      <c r="A1242" s="26">
        <v>35</v>
      </c>
      <c r="D1242" s="25" t="s">
        <v>2552</v>
      </c>
    </row>
    <row r="1243" spans="1:10" thickTop="1" thickBot="1" x14ac:dyDescent="0.6">
      <c r="A1243" s="26">
        <v>36</v>
      </c>
      <c r="D1243" s="25" t="s">
        <v>2552</v>
      </c>
    </row>
    <row r="1244" spans="1:10" thickTop="1" thickBot="1" x14ac:dyDescent="0.6">
      <c r="A1244" s="26">
        <v>37</v>
      </c>
      <c r="D1244" s="25" t="s">
        <v>2552</v>
      </c>
    </row>
    <row r="1245" spans="1:10" thickTop="1" thickBot="1" x14ac:dyDescent="0.6">
      <c r="A1245" s="26">
        <v>38</v>
      </c>
      <c r="B1245" s="43">
        <v>1150832</v>
      </c>
      <c r="C1245" s="6" t="s">
        <v>3031</v>
      </c>
      <c r="D1245" s="25" t="s">
        <v>2552</v>
      </c>
      <c r="E1245" s="111">
        <v>769451559</v>
      </c>
      <c r="F1245" s="4">
        <v>100498</v>
      </c>
      <c r="G1245" s="26">
        <v>1</v>
      </c>
      <c r="H1245" s="7">
        <v>45548</v>
      </c>
      <c r="J1245" s="4" t="s">
        <v>2583</v>
      </c>
    </row>
    <row r="1246" spans="1:10" thickTop="1" thickBot="1" x14ac:dyDescent="0.6">
      <c r="A1246" s="26">
        <v>39</v>
      </c>
      <c r="B1246" s="43">
        <v>1150875</v>
      </c>
      <c r="C1246" s="6" t="s">
        <v>2584</v>
      </c>
      <c r="D1246" s="25" t="s">
        <v>2552</v>
      </c>
      <c r="E1246" s="111">
        <v>727890537</v>
      </c>
      <c r="F1246" s="4">
        <v>121387</v>
      </c>
      <c r="G1246" s="26">
        <v>1</v>
      </c>
      <c r="H1246" s="7">
        <v>45571</v>
      </c>
      <c r="J1246" s="4" t="s">
        <v>2585</v>
      </c>
    </row>
    <row r="1247" spans="1:10" thickTop="1" thickBot="1" x14ac:dyDescent="0.6">
      <c r="A1247" s="26">
        <v>40</v>
      </c>
      <c r="B1247" s="43">
        <v>1151410</v>
      </c>
      <c r="C1247" s="6" t="s">
        <v>2784</v>
      </c>
      <c r="D1247" s="25" t="s">
        <v>2552</v>
      </c>
      <c r="E1247" s="111">
        <v>773649579</v>
      </c>
      <c r="F1247" s="4">
        <v>526148</v>
      </c>
      <c r="G1247" s="26">
        <v>1</v>
      </c>
      <c r="H1247" s="7">
        <v>45716</v>
      </c>
      <c r="J1247" s="4">
        <v>198423102833</v>
      </c>
    </row>
    <row r="1248" spans="1:10" thickTop="1" thickBot="1" x14ac:dyDescent="0.6">
      <c r="A1248" s="26">
        <v>41</v>
      </c>
      <c r="B1248" s="43">
        <v>1151236</v>
      </c>
      <c r="C1248" s="6" t="s">
        <v>2586</v>
      </c>
      <c r="D1248" s="25" t="s">
        <v>2552</v>
      </c>
      <c r="E1248" s="111">
        <v>778325101</v>
      </c>
      <c r="F1248" s="4">
        <v>364169</v>
      </c>
      <c r="G1248" s="26">
        <v>1</v>
      </c>
      <c r="H1248" s="7">
        <v>45609</v>
      </c>
      <c r="J1248" s="4" t="s">
        <v>2587</v>
      </c>
    </row>
    <row r="1249" spans="1:10" thickTop="1" thickBot="1" x14ac:dyDescent="0.6">
      <c r="A1249" s="26">
        <v>42</v>
      </c>
      <c r="B1249" s="43">
        <v>1151054</v>
      </c>
      <c r="C1249" s="6" t="s">
        <v>2588</v>
      </c>
      <c r="D1249" s="25" t="s">
        <v>2552</v>
      </c>
      <c r="E1249" s="111">
        <v>772917007</v>
      </c>
      <c r="F1249" s="4">
        <v>186513</v>
      </c>
      <c r="G1249" s="26">
        <v>1</v>
      </c>
      <c r="H1249" s="7">
        <v>45600</v>
      </c>
      <c r="J1249" s="4" t="s">
        <v>2589</v>
      </c>
    </row>
    <row r="1250" spans="1:10" thickTop="1" thickBot="1" x14ac:dyDescent="0.6">
      <c r="A1250" s="26">
        <v>43</v>
      </c>
      <c r="D1250" s="25" t="s">
        <v>2552</v>
      </c>
    </row>
    <row r="1251" spans="1:10" thickTop="1" thickBot="1" x14ac:dyDescent="0.6">
      <c r="A1251" s="26">
        <v>44</v>
      </c>
      <c r="B1251" s="43">
        <v>1151283</v>
      </c>
      <c r="C1251" s="6" t="s">
        <v>2590</v>
      </c>
      <c r="D1251" s="25" t="s">
        <v>2552</v>
      </c>
      <c r="E1251" s="111">
        <v>703875772</v>
      </c>
      <c r="F1251" s="4">
        <v>233778</v>
      </c>
      <c r="G1251" s="26">
        <v>1</v>
      </c>
      <c r="H1251" s="7">
        <v>45610</v>
      </c>
    </row>
    <row r="1252" spans="1:10" thickTop="1" thickBot="1" x14ac:dyDescent="0.6">
      <c r="A1252" s="26">
        <v>45</v>
      </c>
      <c r="D1252" s="25" t="s">
        <v>2552</v>
      </c>
    </row>
    <row r="1253" spans="1:10" thickTop="1" thickBot="1" x14ac:dyDescent="0.6">
      <c r="A1253" s="26">
        <v>46</v>
      </c>
      <c r="D1253" s="25" t="s">
        <v>2552</v>
      </c>
    </row>
    <row r="1254" spans="1:10" thickTop="1" thickBot="1" x14ac:dyDescent="0.6">
      <c r="A1254" s="26">
        <v>47</v>
      </c>
      <c r="B1254" s="43">
        <v>1151062</v>
      </c>
      <c r="C1254" s="6" t="s">
        <v>2591</v>
      </c>
      <c r="D1254" s="25" t="s">
        <v>2552</v>
      </c>
      <c r="E1254" s="111">
        <v>764777399</v>
      </c>
      <c r="F1254" s="4">
        <v>221518</v>
      </c>
      <c r="G1254" s="26">
        <v>1</v>
      </c>
      <c r="H1254" s="7">
        <v>45601</v>
      </c>
      <c r="J1254" s="4">
        <v>199508602815</v>
      </c>
    </row>
    <row r="1255" spans="1:10" thickTop="1" thickBot="1" x14ac:dyDescent="0.6">
      <c r="A1255" s="26">
        <v>48</v>
      </c>
      <c r="B1255" s="43">
        <v>1150342</v>
      </c>
      <c r="C1255" s="6" t="s">
        <v>3032</v>
      </c>
      <c r="D1255" s="25" t="s">
        <v>2552</v>
      </c>
      <c r="E1255" s="111">
        <v>517912992</v>
      </c>
      <c r="F1255" s="4" t="s">
        <v>2592</v>
      </c>
      <c r="G1255" s="26">
        <v>1</v>
      </c>
      <c r="H1255" s="7">
        <v>45624</v>
      </c>
      <c r="I1255" s="7">
        <v>44659</v>
      </c>
      <c r="J1255" s="5" t="s">
        <v>2593</v>
      </c>
    </row>
    <row r="1256" spans="1:10" thickTop="1" thickBot="1" x14ac:dyDescent="0.6">
      <c r="A1256" s="26">
        <v>49</v>
      </c>
      <c r="D1256" s="25" t="s">
        <v>2552</v>
      </c>
    </row>
    <row r="1257" spans="1:10" thickTop="1" thickBot="1" x14ac:dyDescent="0.6">
      <c r="A1257" s="26">
        <v>50</v>
      </c>
      <c r="B1257" s="43">
        <v>1151558</v>
      </c>
      <c r="C1257" s="6" t="s">
        <v>3407</v>
      </c>
      <c r="D1257" s="25" t="s">
        <v>2552</v>
      </c>
      <c r="F1257" s="4">
        <v>525801</v>
      </c>
      <c r="G1257" s="26">
        <v>1</v>
      </c>
      <c r="H1257" s="7">
        <v>45949</v>
      </c>
      <c r="J1257" s="4" t="s">
        <v>3408</v>
      </c>
    </row>
    <row r="1258" spans="1:10" thickTop="1" thickBot="1" x14ac:dyDescent="0.6">
      <c r="A1258" s="26">
        <v>51</v>
      </c>
      <c r="D1258" s="25" t="s">
        <v>2552</v>
      </c>
    </row>
    <row r="1259" spans="1:10" thickTop="1" thickBot="1" x14ac:dyDescent="0.6">
      <c r="A1259" s="26">
        <v>52</v>
      </c>
      <c r="D1259" s="25" t="s">
        <v>2552</v>
      </c>
    </row>
    <row r="1260" spans="1:10" thickTop="1" thickBot="1" x14ac:dyDescent="0.6">
      <c r="A1260" s="26">
        <v>53</v>
      </c>
      <c r="D1260" s="25" t="s">
        <v>2552</v>
      </c>
    </row>
    <row r="1261" spans="1:10" thickTop="1" thickBot="1" x14ac:dyDescent="0.6">
      <c r="A1261" s="26">
        <v>54</v>
      </c>
      <c r="D1261" s="25" t="s">
        <v>2552</v>
      </c>
    </row>
    <row r="1262" spans="1:10" thickTop="1" thickBot="1" x14ac:dyDescent="0.6">
      <c r="A1262" s="26">
        <v>55</v>
      </c>
      <c r="B1262" s="43">
        <v>1151090</v>
      </c>
      <c r="C1262" s="6" t="s">
        <v>2594</v>
      </c>
      <c r="D1262" s="25" t="s">
        <v>2552</v>
      </c>
      <c r="E1262" s="111" t="s">
        <v>2595</v>
      </c>
      <c r="F1262" s="4">
        <v>226707</v>
      </c>
      <c r="G1262" s="26">
        <v>1</v>
      </c>
      <c r="H1262" s="7">
        <v>45602</v>
      </c>
      <c r="J1262" s="4" t="s">
        <v>2596</v>
      </c>
    </row>
    <row r="1263" spans="1:10" thickTop="1" thickBot="1" x14ac:dyDescent="0.6">
      <c r="A1263" s="26">
        <v>56</v>
      </c>
      <c r="B1263" s="43">
        <v>1151200</v>
      </c>
      <c r="C1263" s="6" t="s">
        <v>2597</v>
      </c>
      <c r="D1263" s="25" t="s">
        <v>2552</v>
      </c>
      <c r="E1263" s="111">
        <v>515688170</v>
      </c>
      <c r="F1263" s="4">
        <v>212970</v>
      </c>
      <c r="G1263" s="26">
        <v>1</v>
      </c>
      <c r="H1263" s="7">
        <v>45607</v>
      </c>
      <c r="J1263" s="4" t="s">
        <v>2598</v>
      </c>
    </row>
    <row r="1264" spans="1:10" thickTop="1" thickBot="1" x14ac:dyDescent="0.6">
      <c r="A1264" s="26">
        <v>57</v>
      </c>
      <c r="B1264" s="43">
        <v>1151309</v>
      </c>
      <c r="C1264" s="6" t="s">
        <v>2599</v>
      </c>
      <c r="D1264" s="25" t="s">
        <v>2552</v>
      </c>
      <c r="E1264" s="111" t="s">
        <v>2600</v>
      </c>
      <c r="F1264" s="4">
        <v>281058</v>
      </c>
      <c r="G1264" s="26">
        <v>1</v>
      </c>
      <c r="H1264" s="7">
        <v>45620</v>
      </c>
      <c r="J1264" s="4" t="s">
        <v>2601</v>
      </c>
    </row>
    <row r="1265" spans="1:10" thickTop="1" thickBot="1" x14ac:dyDescent="0.6">
      <c r="A1265" s="26">
        <v>58</v>
      </c>
      <c r="B1265" s="43">
        <v>1150529</v>
      </c>
      <c r="C1265" s="6" t="s">
        <v>2602</v>
      </c>
      <c r="D1265" s="25" t="s">
        <v>2552</v>
      </c>
      <c r="E1265" s="111" t="s">
        <v>2603</v>
      </c>
      <c r="F1265" s="4">
        <v>139413</v>
      </c>
      <c r="G1265" s="26">
        <v>1</v>
      </c>
      <c r="I1265" s="7">
        <v>45241</v>
      </c>
      <c r="J1265" s="5">
        <v>197720904655</v>
      </c>
    </row>
    <row r="1266" spans="1:10" thickTop="1" thickBot="1" x14ac:dyDescent="0.6">
      <c r="A1266" s="26">
        <v>59</v>
      </c>
      <c r="D1266" s="25" t="s">
        <v>2552</v>
      </c>
      <c r="H1266" s="7"/>
    </row>
    <row r="1267" spans="1:10" thickTop="1" thickBot="1" x14ac:dyDescent="0.6">
      <c r="A1267" s="26">
        <v>60</v>
      </c>
      <c r="D1267" s="25" t="s">
        <v>2552</v>
      </c>
    </row>
    <row r="1268" spans="1:10" thickTop="1" thickBot="1" x14ac:dyDescent="0.6">
      <c r="A1268" s="26">
        <v>61</v>
      </c>
      <c r="D1268" s="25" t="s">
        <v>2552</v>
      </c>
    </row>
    <row r="1269" spans="1:10" thickTop="1" thickBot="1" x14ac:dyDescent="0.6">
      <c r="A1269" s="26">
        <v>62</v>
      </c>
      <c r="B1269" s="43">
        <v>1151287</v>
      </c>
      <c r="C1269" s="6" t="s">
        <v>2604</v>
      </c>
      <c r="D1269" s="25" t="s">
        <v>2552</v>
      </c>
      <c r="E1269" s="111" t="s">
        <v>2605</v>
      </c>
      <c r="F1269" s="4">
        <v>333891</v>
      </c>
      <c r="G1269" s="26">
        <v>1</v>
      </c>
      <c r="H1269" s="7">
        <v>45612</v>
      </c>
    </row>
    <row r="1270" spans="1:10" thickTop="1" thickBot="1" x14ac:dyDescent="0.6">
      <c r="A1270" s="26">
        <v>63</v>
      </c>
      <c r="B1270" s="43">
        <v>1151238</v>
      </c>
      <c r="C1270" s="6" t="s">
        <v>2606</v>
      </c>
      <c r="D1270" s="25" t="s">
        <v>2552</v>
      </c>
      <c r="E1270" s="111">
        <v>761537600</v>
      </c>
      <c r="F1270" s="4">
        <v>354590</v>
      </c>
      <c r="G1270" s="26">
        <v>1</v>
      </c>
      <c r="H1270" s="7">
        <v>45609</v>
      </c>
      <c r="J1270" s="4" t="s">
        <v>2607</v>
      </c>
    </row>
    <row r="1271" spans="1:10" thickTop="1" thickBot="1" x14ac:dyDescent="0.6">
      <c r="A1271" s="26">
        <v>64</v>
      </c>
      <c r="B1271" s="43">
        <v>1151454</v>
      </c>
      <c r="C1271" s="6" t="s">
        <v>3040</v>
      </c>
      <c r="D1271" s="25" t="s">
        <v>2552</v>
      </c>
      <c r="E1271" s="111" t="s">
        <v>3041</v>
      </c>
      <c r="F1271" s="4">
        <v>578917</v>
      </c>
      <c r="G1271" s="26">
        <v>1</v>
      </c>
      <c r="H1271" s="7">
        <v>45747</v>
      </c>
      <c r="J1271" s="4" t="s">
        <v>3042</v>
      </c>
    </row>
    <row r="1272" spans="1:10" thickTop="1" thickBot="1" x14ac:dyDescent="0.6">
      <c r="A1272" s="26">
        <v>65</v>
      </c>
      <c r="B1272" s="43">
        <v>1151239</v>
      </c>
      <c r="C1272" s="6" t="s">
        <v>2608</v>
      </c>
      <c r="D1272" s="25" t="s">
        <v>2552</v>
      </c>
      <c r="E1272" s="111">
        <v>767576603</v>
      </c>
      <c r="F1272" s="4">
        <v>224777</v>
      </c>
      <c r="G1272" s="26">
        <v>1</v>
      </c>
      <c r="H1272" s="7">
        <v>45609</v>
      </c>
      <c r="J1272" s="4" t="s">
        <v>2609</v>
      </c>
    </row>
    <row r="1273" spans="1:10" thickTop="1" thickBot="1" x14ac:dyDescent="0.6">
      <c r="A1273" s="26">
        <v>66</v>
      </c>
      <c r="B1273" s="43">
        <v>1150285</v>
      </c>
      <c r="C1273" s="6" t="s">
        <v>2610</v>
      </c>
      <c r="D1273" s="25" t="s">
        <v>2552</v>
      </c>
      <c r="E1273" s="111">
        <v>760190057</v>
      </c>
      <c r="F1273" s="4">
        <v>737508</v>
      </c>
      <c r="G1273" s="26">
        <v>1</v>
      </c>
      <c r="I1273" s="7">
        <v>44477</v>
      </c>
      <c r="J1273" s="5" t="s">
        <v>2611</v>
      </c>
    </row>
    <row r="1274" spans="1:10" thickTop="1" thickBot="1" x14ac:dyDescent="0.6">
      <c r="A1274" s="26">
        <v>67</v>
      </c>
      <c r="D1274" s="25" t="s">
        <v>2552</v>
      </c>
      <c r="H1274" s="7"/>
    </row>
    <row r="1275" spans="1:10" thickTop="1" thickBot="1" x14ac:dyDescent="0.6">
      <c r="A1275" s="26">
        <v>68</v>
      </c>
      <c r="B1275" s="43">
        <v>1151082</v>
      </c>
      <c r="C1275" s="6" t="s">
        <v>3043</v>
      </c>
      <c r="D1275" s="25" t="s">
        <v>2552</v>
      </c>
      <c r="E1275" s="111">
        <v>515686850</v>
      </c>
      <c r="F1275" s="4">
        <v>363716</v>
      </c>
      <c r="G1275" s="26">
        <v>1</v>
      </c>
      <c r="H1275" s="7">
        <v>45602</v>
      </c>
      <c r="J1275" s="4" t="s">
        <v>2612</v>
      </c>
    </row>
    <row r="1276" spans="1:10" thickTop="1" thickBot="1" x14ac:dyDescent="0.6">
      <c r="A1276" s="26">
        <v>69</v>
      </c>
      <c r="D1276" s="25" t="s">
        <v>2552</v>
      </c>
    </row>
    <row r="1277" spans="1:10" thickTop="1" thickBot="1" x14ac:dyDescent="0.6">
      <c r="A1277" s="26">
        <v>70</v>
      </c>
      <c r="D1277" s="25" t="s">
        <v>2552</v>
      </c>
    </row>
    <row r="1278" spans="1:10" thickTop="1" thickBot="1" x14ac:dyDescent="0.6">
      <c r="A1278" s="26">
        <v>71</v>
      </c>
      <c r="D1278" s="25" t="s">
        <v>2552</v>
      </c>
    </row>
    <row r="1279" spans="1:10" thickTop="1" thickBot="1" x14ac:dyDescent="0.6">
      <c r="A1279" s="26">
        <v>72</v>
      </c>
      <c r="D1279" s="25" t="s">
        <v>2552</v>
      </c>
    </row>
    <row r="1280" spans="1:10" thickTop="1" thickBot="1" x14ac:dyDescent="0.6">
      <c r="A1280" s="26">
        <v>73</v>
      </c>
      <c r="B1280" s="43">
        <v>1151437</v>
      </c>
      <c r="C1280" s="6" t="s">
        <v>2859</v>
      </c>
      <c r="D1280" s="25" t="s">
        <v>2552</v>
      </c>
      <c r="E1280" s="111" t="s">
        <v>2860</v>
      </c>
      <c r="F1280" s="4">
        <v>583727</v>
      </c>
      <c r="G1280" s="26">
        <v>1</v>
      </c>
      <c r="H1280" s="7">
        <v>45737</v>
      </c>
      <c r="J1280" s="4" t="s">
        <v>2861</v>
      </c>
    </row>
    <row r="1281" spans="1:10" thickTop="1" thickBot="1" x14ac:dyDescent="0.6">
      <c r="A1281" s="26">
        <v>74</v>
      </c>
      <c r="D1281" s="25" t="s">
        <v>2552</v>
      </c>
    </row>
    <row r="1282" spans="1:10" thickTop="1" thickBot="1" x14ac:dyDescent="0.6">
      <c r="A1282" s="26">
        <v>75</v>
      </c>
      <c r="B1282" s="43">
        <v>1151345</v>
      </c>
      <c r="C1282" s="6" t="s">
        <v>2613</v>
      </c>
      <c r="D1282" s="25" t="s">
        <v>2552</v>
      </c>
      <c r="E1282" s="111" t="s">
        <v>2614</v>
      </c>
      <c r="F1282" s="4">
        <v>183791</v>
      </c>
      <c r="G1282" s="26">
        <v>1</v>
      </c>
      <c r="H1282" s="7">
        <v>45641</v>
      </c>
      <c r="J1282" s="4" t="s">
        <v>2615</v>
      </c>
    </row>
    <row r="1283" spans="1:10" thickTop="1" thickBot="1" x14ac:dyDescent="0.6">
      <c r="A1283" s="26">
        <v>76</v>
      </c>
      <c r="B1283" s="43">
        <v>1151164</v>
      </c>
      <c r="C1283" s="6" t="s">
        <v>2616</v>
      </c>
      <c r="D1283" s="25" t="s">
        <v>2552</v>
      </c>
      <c r="E1283" s="111">
        <v>767576568</v>
      </c>
      <c r="F1283" s="4">
        <v>173826</v>
      </c>
      <c r="G1283" s="26">
        <v>1</v>
      </c>
      <c r="H1283" s="7">
        <v>45605</v>
      </c>
      <c r="J1283" s="4">
        <v>199468303720</v>
      </c>
    </row>
    <row r="1284" spans="1:10" thickTop="1" thickBot="1" x14ac:dyDescent="0.6">
      <c r="A1284" s="26">
        <v>77</v>
      </c>
      <c r="B1284" s="43">
        <v>1150316</v>
      </c>
      <c r="C1284" s="6" t="s">
        <v>2617</v>
      </c>
      <c r="D1284" s="25" t="s">
        <v>2552</v>
      </c>
      <c r="E1284" s="111" t="s">
        <v>2618</v>
      </c>
      <c r="F1284" s="4">
        <v>216163</v>
      </c>
      <c r="G1284" s="26">
        <v>1</v>
      </c>
      <c r="H1284" s="7">
        <v>45609</v>
      </c>
      <c r="J1284" s="4" t="s">
        <v>2619</v>
      </c>
    </row>
    <row r="1285" spans="1:10" thickTop="1" thickBot="1" x14ac:dyDescent="0.6">
      <c r="A1285" s="26">
        <v>78</v>
      </c>
      <c r="B1285" s="43">
        <v>1151459</v>
      </c>
      <c r="C1285" s="6" t="s">
        <v>2916</v>
      </c>
      <c r="D1285" s="25" t="s">
        <v>2552</v>
      </c>
      <c r="E1285" s="111">
        <v>772587664</v>
      </c>
      <c r="F1285" s="4">
        <v>618812</v>
      </c>
      <c r="G1285" s="26">
        <v>1</v>
      </c>
      <c r="H1285" s="7">
        <v>45748</v>
      </c>
      <c r="J1285" s="4" t="s">
        <v>2917</v>
      </c>
    </row>
    <row r="1286" spans="1:10" thickTop="1" thickBot="1" x14ac:dyDescent="0.6">
      <c r="A1286" s="26">
        <v>79</v>
      </c>
      <c r="D1286" s="25" t="s">
        <v>2552</v>
      </c>
    </row>
    <row r="1287" spans="1:10" thickTop="1" thickBot="1" x14ac:dyDescent="0.6">
      <c r="A1287" s="26">
        <v>80</v>
      </c>
      <c r="D1287" s="25" t="s">
        <v>2552</v>
      </c>
    </row>
    <row r="1288" spans="1:10" thickTop="1" thickBot="1" x14ac:dyDescent="0.6">
      <c r="A1288" s="26">
        <v>81</v>
      </c>
      <c r="D1288" s="25" t="s">
        <v>2552</v>
      </c>
    </row>
    <row r="1289" spans="1:10" thickTop="1" thickBot="1" x14ac:dyDescent="0.6">
      <c r="A1289" s="26">
        <v>82</v>
      </c>
      <c r="D1289" s="25" t="s">
        <v>2552</v>
      </c>
    </row>
    <row r="1290" spans="1:10" thickTop="1" thickBot="1" x14ac:dyDescent="0.6">
      <c r="A1290" s="26">
        <v>83</v>
      </c>
      <c r="D1290" s="25" t="s">
        <v>2552</v>
      </c>
    </row>
    <row r="1291" spans="1:10" thickTop="1" thickBot="1" x14ac:dyDescent="0.6">
      <c r="A1291" s="26">
        <v>84</v>
      </c>
      <c r="B1291" s="43">
        <v>1150843</v>
      </c>
      <c r="C1291" s="6" t="s">
        <v>2620</v>
      </c>
      <c r="D1291" s="25" t="s">
        <v>2552</v>
      </c>
      <c r="E1291" s="111">
        <v>772511899</v>
      </c>
      <c r="F1291" s="4" t="str">
        <f>"0"&amp;94824</f>
        <v>094824</v>
      </c>
      <c r="G1291" s="26">
        <v>1</v>
      </c>
      <c r="H1291" s="7">
        <v>45556</v>
      </c>
      <c r="J1291" s="4" t="s">
        <v>2621</v>
      </c>
    </row>
    <row r="1292" spans="1:10" thickTop="1" thickBot="1" x14ac:dyDescent="0.6">
      <c r="A1292" s="26">
        <v>85</v>
      </c>
      <c r="B1292" s="43">
        <v>1151343</v>
      </c>
      <c r="C1292" s="6" t="s">
        <v>2622</v>
      </c>
      <c r="D1292" s="25" t="s">
        <v>2552</v>
      </c>
      <c r="E1292" s="111" t="s">
        <v>2623</v>
      </c>
      <c r="F1292" s="4">
        <v>348360</v>
      </c>
      <c r="G1292" s="26">
        <v>1</v>
      </c>
      <c r="H1292" s="7">
        <v>45641</v>
      </c>
      <c r="J1292" s="4" t="s">
        <v>2624</v>
      </c>
    </row>
    <row r="1293" spans="1:10" thickTop="1" thickBot="1" x14ac:dyDescent="0.6">
      <c r="A1293" s="26">
        <v>86</v>
      </c>
      <c r="B1293" s="43">
        <v>1151478</v>
      </c>
      <c r="C1293" s="6" t="s">
        <v>2979</v>
      </c>
      <c r="D1293" s="25" t="s">
        <v>2552</v>
      </c>
      <c r="E1293" s="111" t="s">
        <v>2980</v>
      </c>
      <c r="F1293" s="4">
        <v>609092</v>
      </c>
      <c r="G1293" s="26">
        <v>1</v>
      </c>
      <c r="H1293" s="7">
        <v>45763</v>
      </c>
      <c r="J1293" s="4" t="s">
        <v>2981</v>
      </c>
    </row>
    <row r="1294" spans="1:10" thickTop="1" thickBot="1" x14ac:dyDescent="0.6">
      <c r="A1294" s="26">
        <v>87</v>
      </c>
      <c r="D1294" s="25" t="s">
        <v>2552</v>
      </c>
      <c r="I1294" s="7"/>
      <c r="J1294" s="5"/>
    </row>
    <row r="1295" spans="1:10" thickTop="1" thickBot="1" x14ac:dyDescent="0.6">
      <c r="A1295" s="26">
        <v>88</v>
      </c>
      <c r="D1295" s="25" t="s">
        <v>2552</v>
      </c>
    </row>
    <row r="1296" spans="1:10" thickTop="1" thickBot="1" x14ac:dyDescent="0.6">
      <c r="A1296" s="26">
        <v>89</v>
      </c>
      <c r="B1296" s="43">
        <v>1151073</v>
      </c>
      <c r="C1296" s="6" t="s">
        <v>2625</v>
      </c>
      <c r="D1296" s="25" t="s">
        <v>2552</v>
      </c>
      <c r="E1296" s="111" t="s">
        <v>2626</v>
      </c>
      <c r="F1296" s="4">
        <v>226624</v>
      </c>
      <c r="G1296" s="26">
        <v>1</v>
      </c>
      <c r="H1296" s="7">
        <v>45601</v>
      </c>
      <c r="J1296" s="4" t="s">
        <v>2627</v>
      </c>
    </row>
    <row r="1297" spans="1:10" thickTop="1" thickBot="1" x14ac:dyDescent="0.6">
      <c r="A1297" s="26">
        <v>90</v>
      </c>
      <c r="B1297" s="43">
        <v>1151277</v>
      </c>
      <c r="C1297" s="6" t="s">
        <v>2628</v>
      </c>
      <c r="D1297" s="25" t="s">
        <v>2552</v>
      </c>
      <c r="E1297" s="111">
        <v>768384452</v>
      </c>
      <c r="F1297" s="4">
        <v>358534</v>
      </c>
      <c r="G1297" s="26">
        <v>1</v>
      </c>
      <c r="H1297" s="7">
        <v>45610</v>
      </c>
      <c r="I1297" s="7">
        <v>45033</v>
      </c>
    </row>
    <row r="1298" spans="1:10" thickTop="1" thickBot="1" x14ac:dyDescent="0.6">
      <c r="A1298" s="26">
        <v>91</v>
      </c>
      <c r="B1298" s="43">
        <v>1150453</v>
      </c>
      <c r="C1298" s="6" t="s">
        <v>2629</v>
      </c>
      <c r="D1298" s="25" t="s">
        <v>2552</v>
      </c>
      <c r="E1298" s="111">
        <v>764620341</v>
      </c>
      <c r="F1298" s="4" t="str">
        <f>"0"&amp;69958</f>
        <v>069958</v>
      </c>
      <c r="G1298" s="26">
        <v>1</v>
      </c>
      <c r="H1298" s="7">
        <v>45029</v>
      </c>
      <c r="I1298" s="7">
        <v>45029</v>
      </c>
      <c r="J1298" s="5" t="s">
        <v>2630</v>
      </c>
    </row>
    <row r="1299" spans="1:10" thickTop="1" thickBot="1" x14ac:dyDescent="0.6">
      <c r="A1299" s="26">
        <v>92</v>
      </c>
      <c r="B1299" s="43">
        <v>1150767</v>
      </c>
      <c r="C1299" s="6" t="s">
        <v>2631</v>
      </c>
      <c r="D1299" s="25" t="s">
        <v>2552</v>
      </c>
      <c r="E1299" s="111">
        <v>774400383</v>
      </c>
      <c r="F1299" s="4">
        <v>142854</v>
      </c>
      <c r="G1299" s="26">
        <v>1</v>
      </c>
      <c r="H1299" s="7">
        <v>45518</v>
      </c>
    </row>
    <row r="1300" spans="1:10" thickTop="1" thickBot="1" x14ac:dyDescent="0.6">
      <c r="A1300" s="26">
        <v>93</v>
      </c>
      <c r="D1300" s="25" t="s">
        <v>2552</v>
      </c>
    </row>
    <row r="1301" spans="1:10" thickTop="1" thickBot="1" x14ac:dyDescent="0.6">
      <c r="A1301" s="26">
        <v>94</v>
      </c>
      <c r="B1301" s="43">
        <v>1151556</v>
      </c>
      <c r="C1301" s="6" t="s">
        <v>3288</v>
      </c>
      <c r="D1301" s="25" t="s">
        <v>2552</v>
      </c>
      <c r="E1301" s="111" t="s">
        <v>3289</v>
      </c>
      <c r="F1301" s="4">
        <v>635477</v>
      </c>
      <c r="G1301" s="26">
        <v>1</v>
      </c>
      <c r="H1301" s="7">
        <v>45851</v>
      </c>
      <c r="J1301" s="4">
        <v>198625030002</v>
      </c>
    </row>
    <row r="1302" spans="1:10" thickTop="1" thickBot="1" x14ac:dyDescent="0.6">
      <c r="A1302" s="26">
        <v>95</v>
      </c>
      <c r="B1302" s="43">
        <v>1151601</v>
      </c>
      <c r="C1302" s="6" t="s">
        <v>3422</v>
      </c>
      <c r="D1302" s="25" t="s">
        <v>2552</v>
      </c>
      <c r="E1302" s="111">
        <v>752885395</v>
      </c>
      <c r="F1302" s="4">
        <v>688971</v>
      </c>
      <c r="G1302" s="26">
        <v>1</v>
      </c>
      <c r="H1302" s="7">
        <v>45959</v>
      </c>
      <c r="J1302" s="4" t="s">
        <v>3423</v>
      </c>
    </row>
    <row r="1303" spans="1:10" thickTop="1" thickBot="1" x14ac:dyDescent="0.6">
      <c r="A1303" s="26">
        <v>96</v>
      </c>
      <c r="D1303" s="25" t="s">
        <v>2552</v>
      </c>
    </row>
    <row r="1304" spans="1:10" thickTop="1" thickBot="1" x14ac:dyDescent="0.6">
      <c r="A1304" s="26">
        <v>97</v>
      </c>
      <c r="B1304" s="43">
        <v>1151201</v>
      </c>
      <c r="C1304" s="6" t="s">
        <v>2632</v>
      </c>
      <c r="D1304" s="25" t="s">
        <v>2552</v>
      </c>
      <c r="E1304" s="111" t="s">
        <v>2633</v>
      </c>
      <c r="F1304" s="4">
        <v>199276</v>
      </c>
      <c r="G1304" s="26">
        <v>1</v>
      </c>
      <c r="H1304" s="7">
        <v>45607</v>
      </c>
      <c r="J1304" s="4" t="s">
        <v>2634</v>
      </c>
    </row>
    <row r="1305" spans="1:10" thickTop="1" thickBot="1" x14ac:dyDescent="0.6">
      <c r="A1305" s="26">
        <v>98</v>
      </c>
      <c r="B1305" s="43">
        <v>1151435</v>
      </c>
      <c r="C1305" s="6" t="s">
        <v>2855</v>
      </c>
      <c r="D1305" s="25" t="s">
        <v>2552</v>
      </c>
      <c r="E1305" s="111" t="s">
        <v>2856</v>
      </c>
      <c r="F1305" s="4">
        <v>626278</v>
      </c>
      <c r="G1305" s="26">
        <v>1</v>
      </c>
      <c r="H1305" s="7">
        <v>45735</v>
      </c>
      <c r="J1305" s="4" t="s">
        <v>2857</v>
      </c>
    </row>
    <row r="1306" spans="1:10" thickTop="1" thickBot="1" x14ac:dyDescent="0.6">
      <c r="A1306" s="26">
        <v>99</v>
      </c>
      <c r="D1306" s="25" t="s">
        <v>2552</v>
      </c>
    </row>
    <row r="1307" spans="1:10" thickTop="1" thickBot="1" x14ac:dyDescent="0.6">
      <c r="A1307" s="26">
        <v>100</v>
      </c>
      <c r="B1307" s="43">
        <v>1151391</v>
      </c>
      <c r="C1307" s="6" t="s">
        <v>2747</v>
      </c>
      <c r="D1307" s="25" t="s">
        <v>2552</v>
      </c>
      <c r="E1307" s="111">
        <v>762213755</v>
      </c>
      <c r="F1307" s="4">
        <v>456809</v>
      </c>
      <c r="G1307" s="26">
        <v>1</v>
      </c>
      <c r="H1307" s="7">
        <v>45707</v>
      </c>
      <c r="J1307" s="4" t="s">
        <v>2748</v>
      </c>
    </row>
    <row r="1308" spans="1:10" thickTop="1" thickBot="1" x14ac:dyDescent="0.6">
      <c r="A1308" s="26">
        <v>101</v>
      </c>
      <c r="B1308" s="43">
        <v>1150364</v>
      </c>
      <c r="C1308" s="6" t="s">
        <v>1810</v>
      </c>
      <c r="D1308" s="25" t="s">
        <v>2552</v>
      </c>
      <c r="E1308" s="111" t="s">
        <v>2637</v>
      </c>
      <c r="F1308" s="4">
        <v>139100</v>
      </c>
      <c r="G1308" s="26">
        <v>1</v>
      </c>
      <c r="I1308" s="7">
        <v>44834</v>
      </c>
      <c r="J1308" s="5" t="s">
        <v>2638</v>
      </c>
    </row>
    <row r="1309" spans="1:10" thickTop="1" thickBot="1" x14ac:dyDescent="0.6">
      <c r="A1309" s="26">
        <v>102</v>
      </c>
      <c r="B1309" s="43">
        <v>1150504</v>
      </c>
      <c r="C1309" s="6" t="s">
        <v>2639</v>
      </c>
      <c r="D1309" s="25" t="s">
        <v>2552</v>
      </c>
      <c r="E1309" s="111" t="s">
        <v>2640</v>
      </c>
      <c r="F1309" s="4" t="str">
        <f>"0"&amp;96357</f>
        <v>096357</v>
      </c>
      <c r="G1309" s="26">
        <v>1</v>
      </c>
      <c r="I1309" s="7">
        <v>45190</v>
      </c>
      <c r="J1309" s="4" t="s">
        <v>2641</v>
      </c>
    </row>
    <row r="1310" spans="1:10" thickTop="1" thickBot="1" x14ac:dyDescent="0.6">
      <c r="A1310" s="26">
        <v>103</v>
      </c>
      <c r="B1310" s="43">
        <v>1151426</v>
      </c>
      <c r="C1310" s="6" t="s">
        <v>2816</v>
      </c>
      <c r="D1310" s="25" t="s">
        <v>2552</v>
      </c>
      <c r="E1310" s="111" t="s">
        <v>2817</v>
      </c>
      <c r="F1310" s="4">
        <v>575376</v>
      </c>
      <c r="G1310" s="26">
        <v>1</v>
      </c>
      <c r="H1310" s="7">
        <v>45728</v>
      </c>
      <c r="J1310" s="4" t="s">
        <v>2818</v>
      </c>
    </row>
    <row r="1311" spans="1:10" thickTop="1" thickBot="1" x14ac:dyDescent="0.6">
      <c r="A1311" s="26">
        <v>104</v>
      </c>
      <c r="B1311" s="43">
        <v>1150339</v>
      </c>
      <c r="C1311" s="6" t="s">
        <v>2642</v>
      </c>
      <c r="D1311" s="25" t="s">
        <v>2552</v>
      </c>
      <c r="E1311" s="111">
        <v>752252659</v>
      </c>
      <c r="F1311" s="4">
        <v>141221</v>
      </c>
      <c r="G1311" s="26">
        <v>1</v>
      </c>
      <c r="J1311" s="5" t="s">
        <v>2643</v>
      </c>
    </row>
    <row r="1312" spans="1:10" thickTop="1" thickBot="1" x14ac:dyDescent="0.6">
      <c r="A1312" s="26">
        <v>105</v>
      </c>
      <c r="D1312" s="25" t="s">
        <v>2552</v>
      </c>
    </row>
    <row r="1313" spans="1:10" thickTop="1" thickBot="1" x14ac:dyDescent="0.6">
      <c r="A1313" s="26">
        <v>106</v>
      </c>
      <c r="B1313" s="43">
        <v>1150975</v>
      </c>
      <c r="C1313" s="6" t="s">
        <v>2644</v>
      </c>
      <c r="D1313" s="25" t="s">
        <v>2552</v>
      </c>
      <c r="E1313" s="111">
        <v>774374305</v>
      </c>
      <c r="F1313" s="4">
        <v>364953</v>
      </c>
      <c r="G1313" s="26">
        <v>1</v>
      </c>
      <c r="H1313" s="7">
        <v>45586</v>
      </c>
      <c r="J1313" s="4" t="s">
        <v>2645</v>
      </c>
    </row>
    <row r="1314" spans="1:10" thickTop="1" thickBot="1" x14ac:dyDescent="0.6">
      <c r="A1314" s="26">
        <v>107</v>
      </c>
      <c r="B1314" s="43">
        <v>1150507</v>
      </c>
      <c r="C1314" s="6" t="s">
        <v>2646</v>
      </c>
      <c r="D1314" s="25" t="s">
        <v>2552</v>
      </c>
      <c r="E1314" s="111">
        <v>777398035</v>
      </c>
      <c r="F1314" s="4">
        <v>113004</v>
      </c>
      <c r="G1314" s="26">
        <v>1</v>
      </c>
      <c r="I1314" s="7">
        <v>45210</v>
      </c>
      <c r="J1314" s="4">
        <v>198419400857</v>
      </c>
    </row>
    <row r="1315" spans="1:10" thickTop="1" thickBot="1" x14ac:dyDescent="0.6">
      <c r="A1315" s="26">
        <v>108</v>
      </c>
      <c r="B1315" s="43">
        <v>1151092</v>
      </c>
      <c r="C1315" s="6" t="s">
        <v>2647</v>
      </c>
      <c r="D1315" s="25" t="s">
        <v>2552</v>
      </c>
      <c r="E1315" s="111">
        <v>769201131</v>
      </c>
      <c r="F1315" s="4">
        <v>194806</v>
      </c>
      <c r="G1315" s="26">
        <v>1</v>
      </c>
      <c r="H1315" s="7">
        <v>45602</v>
      </c>
      <c r="J1315" s="4" t="s">
        <v>2648</v>
      </c>
    </row>
    <row r="1316" spans="1:10" thickTop="1" thickBot="1" x14ac:dyDescent="0.6">
      <c r="A1316" s="26">
        <v>109</v>
      </c>
      <c r="D1316" s="25" t="s">
        <v>2552</v>
      </c>
    </row>
    <row r="1317" spans="1:10" thickTop="1" thickBot="1" x14ac:dyDescent="0.6">
      <c r="A1317" s="26">
        <v>110</v>
      </c>
      <c r="D1317" s="25" t="s">
        <v>2552</v>
      </c>
    </row>
    <row r="1318" spans="1:10" thickTop="1" thickBot="1" x14ac:dyDescent="0.6">
      <c r="A1318" s="26">
        <v>111</v>
      </c>
      <c r="B1318" s="43">
        <v>1150813</v>
      </c>
      <c r="C1318" s="6" t="s">
        <v>2327</v>
      </c>
      <c r="D1318" s="25" t="s">
        <v>2552</v>
      </c>
      <c r="E1318" s="111" t="s">
        <v>2649</v>
      </c>
      <c r="F1318" s="4">
        <v>116395</v>
      </c>
      <c r="G1318" s="26">
        <v>1</v>
      </c>
      <c r="H1318" s="7">
        <v>45536</v>
      </c>
      <c r="J1318" s="4">
        <v>200379011235</v>
      </c>
    </row>
    <row r="1319" spans="1:10" thickTop="1" thickBot="1" x14ac:dyDescent="0.6">
      <c r="A1319" s="26">
        <v>112</v>
      </c>
      <c r="B1319" s="43">
        <v>1150972</v>
      </c>
      <c r="C1319" s="6" t="s">
        <v>2650</v>
      </c>
      <c r="D1319" s="25" t="s">
        <v>2552</v>
      </c>
      <c r="E1319" s="111">
        <v>775457724</v>
      </c>
      <c r="F1319" s="4">
        <v>252638</v>
      </c>
      <c r="G1319" s="26">
        <v>1</v>
      </c>
      <c r="H1319" s="7">
        <v>45587</v>
      </c>
      <c r="J1319" s="4" t="s">
        <v>2651</v>
      </c>
    </row>
    <row r="1320" spans="1:10" thickTop="1" thickBot="1" x14ac:dyDescent="0.6">
      <c r="A1320" s="26">
        <v>113</v>
      </c>
      <c r="D1320" s="25" t="s">
        <v>2552</v>
      </c>
    </row>
    <row r="1321" spans="1:10" thickTop="1" thickBot="1" x14ac:dyDescent="0.6">
      <c r="A1321" s="26">
        <v>114</v>
      </c>
      <c r="D1321" s="25" t="s">
        <v>2552</v>
      </c>
    </row>
    <row r="1322" spans="1:10" thickTop="1" thickBot="1" x14ac:dyDescent="0.6">
      <c r="A1322" s="26">
        <v>115</v>
      </c>
      <c r="D1322" s="25" t="s">
        <v>2552</v>
      </c>
    </row>
    <row r="1323" spans="1:10" thickTop="1" thickBot="1" x14ac:dyDescent="0.6">
      <c r="A1323" s="26">
        <v>116</v>
      </c>
      <c r="D1323" s="25" t="s">
        <v>2552</v>
      </c>
    </row>
    <row r="1324" spans="1:10" thickTop="1" thickBot="1" x14ac:dyDescent="0.6">
      <c r="A1324" s="26">
        <v>117</v>
      </c>
      <c r="B1324" s="43">
        <v>1150574</v>
      </c>
      <c r="C1324" s="6" t="s">
        <v>2652</v>
      </c>
      <c r="D1324" s="25" t="s">
        <v>2552</v>
      </c>
      <c r="E1324" s="111">
        <v>727686951</v>
      </c>
      <c r="F1324" s="4">
        <v>108392</v>
      </c>
      <c r="G1324" s="26">
        <v>1</v>
      </c>
      <c r="H1324" s="7">
        <v>45287</v>
      </c>
      <c r="J1324" s="4" t="s">
        <v>2653</v>
      </c>
    </row>
    <row r="1325" spans="1:10" thickTop="1" thickBot="1" x14ac:dyDescent="0.6">
      <c r="A1325" s="26">
        <v>118</v>
      </c>
      <c r="B1325" s="43">
        <v>1150757</v>
      </c>
      <c r="C1325" s="6" t="s">
        <v>2654</v>
      </c>
      <c r="D1325" s="25" t="s">
        <v>2552</v>
      </c>
      <c r="E1325" s="111">
        <v>765515503</v>
      </c>
      <c r="F1325" s="4" t="str">
        <f>"0"&amp;84148</f>
        <v>084148</v>
      </c>
      <c r="G1325" s="26">
        <v>1</v>
      </c>
      <c r="H1325" s="7">
        <v>45499</v>
      </c>
      <c r="J1325" s="4" t="s">
        <v>2655</v>
      </c>
    </row>
    <row r="1326" spans="1:10" thickTop="1" thickBot="1" x14ac:dyDescent="0.6">
      <c r="A1326" s="26">
        <v>119</v>
      </c>
      <c r="B1326" s="43">
        <v>1150352</v>
      </c>
      <c r="C1326" s="6" t="s">
        <v>1956</v>
      </c>
      <c r="D1326" s="25" t="s">
        <v>2552</v>
      </c>
      <c r="E1326" s="111">
        <v>772125973</v>
      </c>
      <c r="F1326" s="4">
        <v>279310</v>
      </c>
      <c r="G1326" s="26">
        <v>1</v>
      </c>
      <c r="I1326" s="7">
        <v>44767</v>
      </c>
      <c r="J1326" s="5">
        <v>197209104158</v>
      </c>
    </row>
    <row r="1327" spans="1:10" thickTop="1" thickBot="1" x14ac:dyDescent="0.6">
      <c r="A1327" s="26">
        <v>120</v>
      </c>
      <c r="D1327" s="25" t="s">
        <v>2552</v>
      </c>
    </row>
    <row r="1328" spans="1:10" thickTop="1" thickBot="1" x14ac:dyDescent="0.6">
      <c r="A1328" s="26">
        <v>121</v>
      </c>
      <c r="D1328" s="25" t="s">
        <v>2552</v>
      </c>
    </row>
    <row r="1329" spans="1:10" thickTop="1" thickBot="1" x14ac:dyDescent="0.6">
      <c r="A1329" s="26">
        <v>122</v>
      </c>
      <c r="D1329" s="25" t="s">
        <v>2552</v>
      </c>
    </row>
    <row r="1330" spans="1:10" thickTop="1" thickBot="1" x14ac:dyDescent="0.6">
      <c r="A1330" s="26">
        <v>123</v>
      </c>
      <c r="D1330" s="25" t="s">
        <v>2552</v>
      </c>
    </row>
    <row r="1331" spans="1:10" thickTop="1" thickBot="1" x14ac:dyDescent="0.6">
      <c r="A1331" s="26">
        <v>124</v>
      </c>
      <c r="D1331" s="25" t="s">
        <v>2552</v>
      </c>
    </row>
    <row r="1332" spans="1:10" thickTop="1" thickBot="1" x14ac:dyDescent="0.6">
      <c r="A1332" s="26">
        <v>125</v>
      </c>
      <c r="B1332" s="43">
        <v>1151245</v>
      </c>
      <c r="C1332" s="6" t="s">
        <v>2656</v>
      </c>
      <c r="D1332" s="25" t="s">
        <v>2552</v>
      </c>
      <c r="E1332" s="111" t="s">
        <v>2657</v>
      </c>
      <c r="F1332" s="4">
        <v>163223</v>
      </c>
      <c r="G1332" s="26">
        <v>1</v>
      </c>
      <c r="H1332" s="7">
        <v>45609</v>
      </c>
      <c r="J1332" s="4" t="s">
        <v>2658</v>
      </c>
    </row>
    <row r="1333" spans="1:10" thickTop="1" thickBot="1" x14ac:dyDescent="0.6">
      <c r="A1333" s="26">
        <v>126</v>
      </c>
      <c r="B1333" s="43">
        <v>1151422</v>
      </c>
      <c r="C1333" s="6" t="s">
        <v>2814</v>
      </c>
      <c r="D1333" s="25" t="s">
        <v>2552</v>
      </c>
      <c r="E1333" s="111">
        <v>774271133</v>
      </c>
      <c r="F1333" s="4">
        <v>413586</v>
      </c>
      <c r="G1333" s="26">
        <v>1</v>
      </c>
      <c r="H1333" s="7">
        <v>45727</v>
      </c>
      <c r="J1333" s="4" t="s">
        <v>2815</v>
      </c>
    </row>
    <row r="1334" spans="1:10" thickTop="1" thickBot="1" x14ac:dyDescent="0.6">
      <c r="A1334" s="26">
        <v>127</v>
      </c>
      <c r="B1334" s="43">
        <v>1150629</v>
      </c>
      <c r="C1334" s="6" t="s">
        <v>460</v>
      </c>
      <c r="D1334" s="25" t="s">
        <v>2552</v>
      </c>
      <c r="E1334" s="111">
        <v>717480548</v>
      </c>
      <c r="F1334" s="4">
        <v>134604</v>
      </c>
      <c r="G1334" s="26">
        <v>1</v>
      </c>
      <c r="H1334" s="7">
        <v>45504</v>
      </c>
      <c r="I1334" s="7">
        <v>44402</v>
      </c>
      <c r="J1334" s="5" t="s">
        <v>2659</v>
      </c>
    </row>
    <row r="1335" spans="1:10" thickTop="1" thickBot="1" x14ac:dyDescent="0.6">
      <c r="A1335" s="26">
        <v>128</v>
      </c>
      <c r="B1335" s="43">
        <v>1151367</v>
      </c>
      <c r="C1335" s="6" t="s">
        <v>2701</v>
      </c>
      <c r="D1335" s="25" t="s">
        <v>2552</v>
      </c>
      <c r="E1335" s="111" t="s">
        <v>2702</v>
      </c>
      <c r="F1335" s="4">
        <v>589872</v>
      </c>
      <c r="G1335" s="26">
        <v>1</v>
      </c>
      <c r="H1335" s="7">
        <v>45694</v>
      </c>
      <c r="J1335" s="4">
        <v>198001203577</v>
      </c>
    </row>
    <row r="1336" spans="1:10" thickTop="1" thickBot="1" x14ac:dyDescent="0.6">
      <c r="A1336" s="26">
        <v>129</v>
      </c>
      <c r="B1336" s="43">
        <v>1151196</v>
      </c>
      <c r="C1336" s="6" t="s">
        <v>2660</v>
      </c>
      <c r="D1336" s="25" t="s">
        <v>2552</v>
      </c>
      <c r="E1336" s="111" t="s">
        <v>2661</v>
      </c>
      <c r="F1336" s="4">
        <v>366735</v>
      </c>
      <c r="G1336" s="26">
        <v>1</v>
      </c>
      <c r="H1336" s="7">
        <v>45607</v>
      </c>
      <c r="J1336" s="4" t="s">
        <v>2662</v>
      </c>
    </row>
    <row r="1337" spans="1:10" thickTop="1" thickBot="1" x14ac:dyDescent="0.6">
      <c r="A1337" s="26">
        <v>130</v>
      </c>
      <c r="D1337" s="25" t="s">
        <v>2552</v>
      </c>
    </row>
    <row r="1338" spans="1:10" thickTop="1" thickBot="1" x14ac:dyDescent="0.6">
      <c r="A1338" s="26">
        <v>131</v>
      </c>
      <c r="D1338" s="25" t="s">
        <v>2552</v>
      </c>
    </row>
    <row r="1339" spans="1:10" thickTop="1" thickBot="1" x14ac:dyDescent="0.6">
      <c r="A1339" s="26">
        <v>132</v>
      </c>
      <c r="D1339" s="25" t="s">
        <v>2552</v>
      </c>
    </row>
    <row r="1340" spans="1:10" thickTop="1" thickBot="1" x14ac:dyDescent="0.6">
      <c r="A1340" s="26">
        <v>133</v>
      </c>
      <c r="D1340" s="25" t="s">
        <v>2552</v>
      </c>
    </row>
    <row r="1341" spans="1:10" thickTop="1" thickBot="1" x14ac:dyDescent="0.6">
      <c r="A1341" s="26">
        <v>134</v>
      </c>
      <c r="B1341" s="43">
        <v>1150987</v>
      </c>
      <c r="C1341" s="6" t="s">
        <v>2663</v>
      </c>
      <c r="D1341" s="25" t="s">
        <v>2552</v>
      </c>
      <c r="E1341" s="111">
        <v>762156775</v>
      </c>
      <c r="F1341" s="4">
        <v>233224</v>
      </c>
      <c r="G1341" s="26">
        <v>1</v>
      </c>
      <c r="H1341" s="7">
        <v>45590</v>
      </c>
      <c r="J1341" s="4" t="s">
        <v>2664</v>
      </c>
    </row>
    <row r="1342" spans="1:10" thickTop="1" thickBot="1" x14ac:dyDescent="0.6">
      <c r="A1342" s="26">
        <v>135</v>
      </c>
      <c r="D1342" s="25" t="s">
        <v>2552</v>
      </c>
    </row>
    <row r="1343" spans="1:10" thickTop="1" thickBot="1" x14ac:dyDescent="0.6">
      <c r="A1343" s="26">
        <v>136</v>
      </c>
      <c r="D1343" s="25" t="s">
        <v>2552</v>
      </c>
    </row>
    <row r="1344" spans="1:10" thickTop="1" thickBot="1" x14ac:dyDescent="0.6">
      <c r="A1344" s="26">
        <v>137</v>
      </c>
      <c r="D1344" s="25" t="s">
        <v>2552</v>
      </c>
    </row>
    <row r="1345" spans="1:10" thickTop="1" thickBot="1" x14ac:dyDescent="0.6">
      <c r="A1345" s="26">
        <v>138</v>
      </c>
      <c r="B1345" s="43">
        <v>1150284</v>
      </c>
      <c r="C1345" s="6" t="s">
        <v>2837</v>
      </c>
      <c r="D1345" s="25" t="s">
        <v>2552</v>
      </c>
      <c r="E1345" s="111">
        <v>773441341</v>
      </c>
      <c r="F1345" s="4">
        <v>122740</v>
      </c>
      <c r="G1345" s="26">
        <v>1</v>
      </c>
      <c r="H1345" s="7">
        <v>45833</v>
      </c>
    </row>
    <row r="1346" spans="1:10" thickTop="1" thickBot="1" x14ac:dyDescent="0.6">
      <c r="A1346" s="26">
        <v>139</v>
      </c>
      <c r="B1346" s="43">
        <v>1151132</v>
      </c>
      <c r="C1346" s="6" t="s">
        <v>2665</v>
      </c>
      <c r="D1346" s="25" t="s">
        <v>2552</v>
      </c>
      <c r="F1346" s="4">
        <v>316649</v>
      </c>
      <c r="G1346" s="26">
        <v>1</v>
      </c>
      <c r="H1346" s="7">
        <v>45604</v>
      </c>
    </row>
    <row r="1347" spans="1:10" thickTop="1" thickBot="1" x14ac:dyDescent="0.6">
      <c r="A1347" s="26">
        <v>140</v>
      </c>
      <c r="B1347" s="43">
        <v>1151242</v>
      </c>
      <c r="C1347" s="6" t="s">
        <v>2666</v>
      </c>
      <c r="D1347" s="25" t="s">
        <v>2552</v>
      </c>
      <c r="E1347" s="111" t="s">
        <v>2667</v>
      </c>
      <c r="F1347" s="4">
        <v>324676</v>
      </c>
      <c r="G1347" s="26">
        <v>1</v>
      </c>
      <c r="H1347" s="7">
        <v>45609</v>
      </c>
      <c r="J1347" s="4" t="s">
        <v>2668</v>
      </c>
    </row>
    <row r="1348" spans="1:10" thickTop="1" thickBot="1" x14ac:dyDescent="0.6">
      <c r="A1348" s="26">
        <v>141</v>
      </c>
      <c r="D1348" s="25" t="s">
        <v>2552</v>
      </c>
    </row>
    <row r="1349" spans="1:10" thickTop="1" thickBot="1" x14ac:dyDescent="0.6">
      <c r="A1349" s="26">
        <v>142</v>
      </c>
      <c r="B1349" s="43">
        <v>1151470</v>
      </c>
      <c r="C1349" s="6" t="s">
        <v>2965</v>
      </c>
      <c r="D1349" s="25" t="s">
        <v>2552</v>
      </c>
      <c r="E1349" s="111">
        <v>760483976</v>
      </c>
      <c r="F1349" s="4">
        <v>409352</v>
      </c>
      <c r="G1349" s="26">
        <v>1</v>
      </c>
      <c r="H1349" s="7">
        <v>45758</v>
      </c>
      <c r="J1349" s="4" t="s">
        <v>2966</v>
      </c>
    </row>
    <row r="1350" spans="1:10" thickTop="1" thickBot="1" x14ac:dyDescent="0.6">
      <c r="A1350" s="26">
        <v>143</v>
      </c>
      <c r="D1350" s="25" t="s">
        <v>2552</v>
      </c>
    </row>
    <row r="1351" spans="1:10" thickTop="1" thickBot="1" x14ac:dyDescent="0.6">
      <c r="A1351" s="26">
        <v>144</v>
      </c>
      <c r="B1351" s="43">
        <v>1150789</v>
      </c>
      <c r="C1351" s="6" t="s">
        <v>2669</v>
      </c>
      <c r="D1351" s="25" t="s">
        <v>2552</v>
      </c>
      <c r="E1351" s="111">
        <v>750517572</v>
      </c>
      <c r="F1351" s="4" t="str">
        <f>"0"&amp;58936</f>
        <v>058936</v>
      </c>
      <c r="G1351" s="26">
        <v>1</v>
      </c>
      <c r="H1351" s="7">
        <v>45634</v>
      </c>
    </row>
    <row r="1352" spans="1:10" thickTop="1" thickBot="1" x14ac:dyDescent="0.6">
      <c r="A1352" s="26">
        <v>145</v>
      </c>
      <c r="B1352" s="43">
        <v>1150324</v>
      </c>
      <c r="C1352" s="6" t="s">
        <v>2670</v>
      </c>
      <c r="D1352" s="25" t="s">
        <v>2552</v>
      </c>
      <c r="E1352" s="111">
        <v>774979407</v>
      </c>
      <c r="F1352" s="4">
        <v>959532</v>
      </c>
      <c r="G1352" s="26">
        <v>1</v>
      </c>
      <c r="I1352" s="7">
        <v>44591</v>
      </c>
      <c r="J1352" s="5">
        <v>196032302534</v>
      </c>
    </row>
    <row r="1353" spans="1:10" thickTop="1" thickBot="1" x14ac:dyDescent="0.6">
      <c r="A1353" s="26">
        <v>146</v>
      </c>
      <c r="B1353" s="43">
        <v>1150394</v>
      </c>
      <c r="C1353" s="6" t="s">
        <v>2671</v>
      </c>
      <c r="D1353" s="25" t="s">
        <v>2552</v>
      </c>
      <c r="E1353" s="111">
        <v>774165841</v>
      </c>
      <c r="F1353" s="4">
        <v>737284</v>
      </c>
      <c r="G1353" s="26">
        <v>1</v>
      </c>
      <c r="I1353" s="7">
        <v>44916</v>
      </c>
      <c r="J1353" s="5">
        <v>200164110070</v>
      </c>
    </row>
    <row r="1354" spans="1:10" thickTop="1" thickBot="1" x14ac:dyDescent="0.6">
      <c r="A1354" s="26">
        <v>147</v>
      </c>
      <c r="B1354" s="43">
        <v>1150555</v>
      </c>
      <c r="C1354" s="6" t="s">
        <v>2672</v>
      </c>
      <c r="D1354" s="25" t="s">
        <v>2552</v>
      </c>
      <c r="E1354" s="111">
        <v>775286694</v>
      </c>
      <c r="F1354" s="4">
        <v>103153</v>
      </c>
      <c r="G1354" s="26">
        <v>1</v>
      </c>
      <c r="H1354" s="7">
        <v>45279</v>
      </c>
      <c r="J1354" s="4">
        <v>199706403826</v>
      </c>
    </row>
    <row r="1355" spans="1:10" thickTop="1" thickBot="1" x14ac:dyDescent="0.6">
      <c r="A1355" s="26">
        <v>148</v>
      </c>
      <c r="D1355" s="25" t="s">
        <v>2552</v>
      </c>
    </row>
    <row r="1356" spans="1:10" thickTop="1" thickBot="1" x14ac:dyDescent="0.6">
      <c r="A1356" s="26">
        <v>149</v>
      </c>
      <c r="D1356" s="25" t="s">
        <v>2552</v>
      </c>
    </row>
    <row r="1357" spans="1:10" thickTop="1" thickBot="1" x14ac:dyDescent="0.6">
      <c r="A1357" s="26">
        <v>150</v>
      </c>
      <c r="D1357" s="25" t="s">
        <v>2552</v>
      </c>
    </row>
    <row r="1358" spans="1:10" thickTop="1" thickBot="1" x14ac:dyDescent="0.6">
      <c r="A1358" s="26">
        <v>151</v>
      </c>
      <c r="D1358" s="25" t="s">
        <v>2552</v>
      </c>
    </row>
    <row r="1359" spans="1:10" thickTop="1" thickBot="1" x14ac:dyDescent="0.6">
      <c r="A1359" s="26">
        <v>152</v>
      </c>
      <c r="D1359" s="25" t="s">
        <v>2552</v>
      </c>
    </row>
    <row r="1360" spans="1:10" thickTop="1" thickBot="1" x14ac:dyDescent="0.6">
      <c r="A1360" s="26">
        <v>153</v>
      </c>
      <c r="D1360" s="25" t="s">
        <v>2552</v>
      </c>
    </row>
    <row r="1361" spans="1:10" thickTop="1" thickBot="1" x14ac:dyDescent="0.6">
      <c r="A1361" s="26">
        <v>154</v>
      </c>
      <c r="D1361" s="25" t="s">
        <v>2552</v>
      </c>
    </row>
    <row r="1362" spans="1:10" thickTop="1" thickBot="1" x14ac:dyDescent="0.6">
      <c r="A1362" s="26">
        <v>155</v>
      </c>
      <c r="B1362" s="43">
        <v>1151066</v>
      </c>
      <c r="C1362" s="6" t="s">
        <v>2673</v>
      </c>
      <c r="D1362" s="25" t="s">
        <v>2552</v>
      </c>
      <c r="E1362" s="111">
        <v>779023407</v>
      </c>
      <c r="F1362" s="4">
        <v>351885</v>
      </c>
      <c r="G1362" s="26">
        <v>1</v>
      </c>
      <c r="H1362" s="7">
        <v>45601</v>
      </c>
      <c r="J1362" s="4" t="s">
        <v>2674</v>
      </c>
    </row>
    <row r="1363" spans="1:10" thickTop="1" thickBot="1" x14ac:dyDescent="0.6">
      <c r="A1363" s="26">
        <v>156</v>
      </c>
      <c r="B1363" s="43">
        <v>1150980</v>
      </c>
      <c r="C1363" s="6" t="s">
        <v>2675</v>
      </c>
      <c r="D1363" s="25" t="s">
        <v>2552</v>
      </c>
      <c r="E1363" s="111">
        <v>776412086</v>
      </c>
      <c r="F1363" s="4">
        <v>319791</v>
      </c>
      <c r="G1363" s="26">
        <v>1</v>
      </c>
      <c r="H1363" s="7">
        <v>45589</v>
      </c>
      <c r="J1363" s="4" t="s">
        <v>2676</v>
      </c>
    </row>
    <row r="1364" spans="1:10" thickTop="1" thickBot="1" x14ac:dyDescent="0.6">
      <c r="A1364" s="26">
        <v>157</v>
      </c>
      <c r="D1364" s="25" t="s">
        <v>2552</v>
      </c>
    </row>
    <row r="1365" spans="1:10" thickTop="1" thickBot="1" x14ac:dyDescent="0.6">
      <c r="A1365" s="26">
        <v>158</v>
      </c>
      <c r="D1365" s="25" t="s">
        <v>2552</v>
      </c>
    </row>
    <row r="1366" spans="1:10" thickTop="1" thickBot="1" x14ac:dyDescent="0.6">
      <c r="A1366" s="26">
        <v>159</v>
      </c>
      <c r="D1366" s="25" t="s">
        <v>2552</v>
      </c>
    </row>
    <row r="1367" spans="1:10" thickTop="1" thickBot="1" x14ac:dyDescent="0.6">
      <c r="A1367" s="26">
        <v>160</v>
      </c>
      <c r="D1367" s="25" t="s">
        <v>2552</v>
      </c>
    </row>
    <row r="1368" spans="1:10" thickTop="1" thickBot="1" x14ac:dyDescent="0.6">
      <c r="A1368" s="26">
        <v>161</v>
      </c>
      <c r="D1368" s="25" t="s">
        <v>2552</v>
      </c>
    </row>
    <row r="1369" spans="1:10" thickTop="1" thickBot="1" x14ac:dyDescent="0.6">
      <c r="A1369" s="26">
        <v>162</v>
      </c>
      <c r="D1369" s="25" t="s">
        <v>2552</v>
      </c>
      <c r="J1369" s="5"/>
    </row>
    <row r="1370" spans="1:10" thickTop="1" thickBot="1" x14ac:dyDescent="0.6">
      <c r="A1370" s="26">
        <v>163</v>
      </c>
      <c r="B1370" s="43">
        <v>1151363</v>
      </c>
      <c r="C1370" s="6" t="s">
        <v>2692</v>
      </c>
      <c r="D1370" s="25" t="s">
        <v>2552</v>
      </c>
      <c r="E1370" s="111">
        <v>772629066</v>
      </c>
      <c r="F1370" s="4" t="s">
        <v>2693</v>
      </c>
      <c r="G1370" s="26">
        <v>2</v>
      </c>
      <c r="H1370" s="7">
        <v>45690</v>
      </c>
      <c r="J1370" s="4" t="s">
        <v>2694</v>
      </c>
    </row>
    <row r="1371" spans="1:10" thickTop="1" thickBot="1" x14ac:dyDescent="0.6">
      <c r="A1371" s="26">
        <v>164</v>
      </c>
      <c r="B1371" s="43">
        <v>1150412</v>
      </c>
      <c r="C1371" s="6" t="s">
        <v>3363</v>
      </c>
      <c r="D1371" s="25" t="s">
        <v>2552</v>
      </c>
      <c r="E1371" s="111">
        <v>774559373</v>
      </c>
      <c r="F1371" s="4" t="str">
        <f>"0"&amp;98247</f>
        <v>098247</v>
      </c>
      <c r="G1371" s="26">
        <v>1</v>
      </c>
      <c r="I1371" s="7">
        <v>44952</v>
      </c>
      <c r="J1371" s="5" t="s">
        <v>2677</v>
      </c>
    </row>
    <row r="1372" spans="1:10" thickTop="1" thickBot="1" x14ac:dyDescent="0.6">
      <c r="A1372" s="26">
        <v>165</v>
      </c>
      <c r="D1372" s="25" t="s">
        <v>2552</v>
      </c>
    </row>
    <row r="1373" spans="1:10" thickTop="1" thickBot="1" x14ac:dyDescent="0.6">
      <c r="A1373" s="26">
        <v>166</v>
      </c>
      <c r="D1373" s="25" t="s">
        <v>2552</v>
      </c>
    </row>
    <row r="1374" spans="1:10" thickTop="1" thickBot="1" x14ac:dyDescent="0.6">
      <c r="A1374" s="26">
        <v>167</v>
      </c>
      <c r="D1374" s="25" t="s">
        <v>2552</v>
      </c>
    </row>
    <row r="1375" spans="1:10" thickTop="1" thickBot="1" x14ac:dyDescent="0.6">
      <c r="A1375" s="26">
        <v>168</v>
      </c>
      <c r="D1375" s="25" t="s">
        <v>2552</v>
      </c>
    </row>
    <row r="1376" spans="1:10" thickTop="1" thickBot="1" x14ac:dyDescent="0.6">
      <c r="A1376" s="26">
        <v>169</v>
      </c>
      <c r="D1376" s="25" t="s">
        <v>2552</v>
      </c>
    </row>
    <row r="1377" spans="1:11" thickTop="1" thickBot="1" x14ac:dyDescent="0.6">
      <c r="A1377" s="26">
        <v>170</v>
      </c>
      <c r="D1377" s="25" t="s">
        <v>2552</v>
      </c>
    </row>
    <row r="1378" spans="1:11" thickTop="1" thickBot="1" x14ac:dyDescent="0.6">
      <c r="A1378" s="26">
        <v>171</v>
      </c>
      <c r="D1378" s="25" t="s">
        <v>2552</v>
      </c>
    </row>
    <row r="1379" spans="1:11" thickTop="1" thickBot="1" x14ac:dyDescent="0.6">
      <c r="A1379" s="26">
        <v>172</v>
      </c>
      <c r="B1379" s="43">
        <v>1151012</v>
      </c>
      <c r="C1379" s="6" t="s">
        <v>2678</v>
      </c>
      <c r="D1379" s="25" t="s">
        <v>2552</v>
      </c>
      <c r="E1379" s="111">
        <v>770600860</v>
      </c>
      <c r="F1379" s="4">
        <v>156490</v>
      </c>
      <c r="G1379" s="26">
        <v>1</v>
      </c>
      <c r="H1379" s="7">
        <v>45592</v>
      </c>
      <c r="J1379" s="4" t="s">
        <v>2679</v>
      </c>
    </row>
    <row r="1380" spans="1:11" thickTop="1" thickBot="1" x14ac:dyDescent="0.6">
      <c r="A1380" s="26">
        <v>173</v>
      </c>
      <c r="B1380" s="43">
        <v>1150991</v>
      </c>
      <c r="C1380" s="6" t="s">
        <v>2680</v>
      </c>
      <c r="D1380" s="25" t="s">
        <v>2552</v>
      </c>
      <c r="E1380" s="111">
        <v>774903785</v>
      </c>
      <c r="F1380" s="4">
        <v>99872</v>
      </c>
      <c r="G1380" s="26">
        <v>1</v>
      </c>
      <c r="H1380" s="7">
        <v>45592</v>
      </c>
      <c r="J1380" s="4" t="s">
        <v>2681</v>
      </c>
    </row>
    <row r="1381" spans="1:11" thickTop="1" thickBot="1" x14ac:dyDescent="0.6">
      <c r="A1381" s="26">
        <v>174</v>
      </c>
      <c r="B1381" s="43">
        <v>1151231</v>
      </c>
      <c r="C1381" s="6" t="s">
        <v>2821</v>
      </c>
      <c r="D1381" s="25" t="s">
        <v>2552</v>
      </c>
      <c r="F1381" s="4">
        <v>312382</v>
      </c>
      <c r="G1381" s="26">
        <v>1</v>
      </c>
    </row>
    <row r="1382" spans="1:11" thickTop="1" thickBot="1" x14ac:dyDescent="0.6">
      <c r="A1382" s="26">
        <v>175</v>
      </c>
      <c r="D1382" s="25" t="s">
        <v>2552</v>
      </c>
    </row>
    <row r="1383" spans="1:11" thickTop="1" thickBot="1" x14ac:dyDescent="0.6">
      <c r="A1383" s="26">
        <v>176</v>
      </c>
      <c r="D1383" s="25" t="s">
        <v>2552</v>
      </c>
    </row>
    <row r="1384" spans="1:11" thickTop="1" thickBot="1" x14ac:dyDescent="0.6">
      <c r="A1384" s="26">
        <v>177</v>
      </c>
      <c r="D1384" s="25" t="s">
        <v>2552</v>
      </c>
      <c r="I1384" s="7">
        <v>45049</v>
      </c>
    </row>
    <row r="1385" spans="1:11" s="3" customFormat="1" thickTop="1" thickBot="1" x14ac:dyDescent="0.6">
      <c r="A1385" s="35">
        <v>178</v>
      </c>
      <c r="B1385" s="106">
        <v>1150022</v>
      </c>
      <c r="C1385" s="107" t="s">
        <v>3253</v>
      </c>
      <c r="D1385" s="108" t="s">
        <v>2552</v>
      </c>
      <c r="E1385" s="112">
        <v>743641445</v>
      </c>
      <c r="F1385" s="34">
        <v>123904</v>
      </c>
      <c r="G1385" s="35">
        <v>1</v>
      </c>
      <c r="H1385" s="109">
        <v>45825</v>
      </c>
      <c r="I1385" s="6"/>
      <c r="J1385" s="4" t="s">
        <v>3254</v>
      </c>
      <c r="K1385" s="49"/>
    </row>
    <row r="1386" spans="1:11" s="105" customFormat="1" thickTop="1" thickBot="1" x14ac:dyDescent="0.6">
      <c r="A1386" s="26">
        <v>1</v>
      </c>
      <c r="B1386" s="25">
        <v>1150847</v>
      </c>
      <c r="C1386" s="6" t="s">
        <v>3156</v>
      </c>
      <c r="D1386" s="25" t="s">
        <v>3162</v>
      </c>
      <c r="E1386" s="111" t="s">
        <v>3158</v>
      </c>
      <c r="F1386" s="4">
        <v>281280</v>
      </c>
      <c r="G1386" s="25">
        <v>1</v>
      </c>
      <c r="H1386" s="28">
        <v>45561</v>
      </c>
      <c r="I1386" s="6"/>
      <c r="J1386" s="4"/>
      <c r="K1386" s="104"/>
    </row>
    <row r="1387" spans="1:11" s="105" customFormat="1" thickTop="1" thickBot="1" x14ac:dyDescent="0.6">
      <c r="A1387" s="26">
        <v>2</v>
      </c>
      <c r="B1387" s="25">
        <v>1150873</v>
      </c>
      <c r="C1387" s="6" t="s">
        <v>3159</v>
      </c>
      <c r="D1387" s="25" t="s">
        <v>3162</v>
      </c>
      <c r="E1387" s="111">
        <v>772321807</v>
      </c>
      <c r="F1387" s="4">
        <v>360084</v>
      </c>
      <c r="G1387" s="25">
        <v>1</v>
      </c>
      <c r="H1387" s="28">
        <v>45571</v>
      </c>
      <c r="I1387" s="6"/>
      <c r="J1387" s="4"/>
      <c r="K1387" s="104"/>
    </row>
    <row r="1388" spans="1:11" s="105" customFormat="1" thickTop="1" thickBot="1" x14ac:dyDescent="0.6">
      <c r="A1388" s="26">
        <v>3</v>
      </c>
      <c r="B1388" s="25">
        <v>1150883</v>
      </c>
      <c r="C1388" s="6" t="s">
        <v>3160</v>
      </c>
      <c r="D1388" s="25" t="s">
        <v>3162</v>
      </c>
      <c r="E1388" s="111">
        <v>778255452</v>
      </c>
      <c r="F1388" s="4">
        <v>187800</v>
      </c>
      <c r="G1388" s="25">
        <v>1</v>
      </c>
      <c r="H1388" s="28">
        <v>45573</v>
      </c>
      <c r="I1388" s="6"/>
      <c r="J1388" s="4"/>
      <c r="K1388" s="104"/>
    </row>
    <row r="1389" spans="1:11" s="105" customFormat="1" thickTop="1" thickBot="1" x14ac:dyDescent="0.6">
      <c r="A1389" s="26">
        <v>4</v>
      </c>
      <c r="B1389" s="25">
        <v>1150885</v>
      </c>
      <c r="C1389" s="6" t="s">
        <v>3161</v>
      </c>
      <c r="D1389" s="25" t="s">
        <v>3162</v>
      </c>
      <c r="E1389" s="111">
        <v>76609014</v>
      </c>
      <c r="F1389" s="4">
        <v>188774</v>
      </c>
      <c r="G1389" s="25">
        <v>1</v>
      </c>
      <c r="H1389" s="28">
        <v>45574</v>
      </c>
      <c r="I1389" s="6"/>
      <c r="J1389" s="4"/>
      <c r="K1389" s="104"/>
    </row>
    <row r="1390" spans="1:11" s="105" customFormat="1" thickTop="1" thickBot="1" x14ac:dyDescent="0.6">
      <c r="A1390" s="26">
        <v>5</v>
      </c>
      <c r="B1390" s="25">
        <v>1150886</v>
      </c>
      <c r="C1390" s="6" t="s">
        <v>3163</v>
      </c>
      <c r="D1390" s="25" t="s">
        <v>3162</v>
      </c>
      <c r="E1390" s="111">
        <v>769959594</v>
      </c>
      <c r="F1390" s="4">
        <v>357213</v>
      </c>
      <c r="G1390" s="25">
        <v>1</v>
      </c>
      <c r="H1390" s="28">
        <v>45574</v>
      </c>
      <c r="I1390" s="6"/>
      <c r="J1390" s="4"/>
      <c r="K1390" s="104"/>
    </row>
    <row r="1391" spans="1:11" s="105" customFormat="1" thickTop="1" thickBot="1" x14ac:dyDescent="0.6">
      <c r="A1391" s="26">
        <v>6</v>
      </c>
      <c r="B1391" s="25">
        <v>1150887</v>
      </c>
      <c r="C1391" s="6" t="s">
        <v>3164</v>
      </c>
      <c r="D1391" s="25" t="s">
        <v>3162</v>
      </c>
      <c r="E1391" s="111">
        <v>763048013</v>
      </c>
      <c r="F1391" s="4">
        <v>390818</v>
      </c>
      <c r="G1391" s="25">
        <v>1</v>
      </c>
      <c r="H1391" s="28">
        <v>45574</v>
      </c>
      <c r="I1391" s="6"/>
      <c r="J1391" s="4"/>
      <c r="K1391" s="104"/>
    </row>
    <row r="1392" spans="1:11" s="105" customFormat="1" thickTop="1" thickBot="1" x14ac:dyDescent="0.6">
      <c r="A1392" s="26">
        <v>7</v>
      </c>
      <c r="B1392" s="25">
        <v>1150888</v>
      </c>
      <c r="C1392" s="6" t="s">
        <v>3165</v>
      </c>
      <c r="D1392" s="25" t="s">
        <v>3162</v>
      </c>
      <c r="E1392" s="111">
        <v>756213409</v>
      </c>
      <c r="F1392" s="4">
        <v>293228</v>
      </c>
      <c r="G1392" s="25">
        <v>1</v>
      </c>
      <c r="H1392" s="28">
        <v>45574</v>
      </c>
      <c r="I1392" s="6"/>
      <c r="J1392" s="4"/>
      <c r="K1392" s="104"/>
    </row>
    <row r="1393" spans="1:11" s="105" customFormat="1" thickTop="1" thickBot="1" x14ac:dyDescent="0.6">
      <c r="A1393" s="26">
        <v>8</v>
      </c>
      <c r="B1393" s="25">
        <v>1150889</v>
      </c>
      <c r="C1393" s="6" t="s">
        <v>3166</v>
      </c>
      <c r="D1393" s="25" t="s">
        <v>3162</v>
      </c>
      <c r="E1393" s="111">
        <v>759474006</v>
      </c>
      <c r="F1393" s="4">
        <v>207483</v>
      </c>
      <c r="G1393" s="25">
        <v>1</v>
      </c>
      <c r="H1393" s="28">
        <v>45574</v>
      </c>
      <c r="I1393" s="6"/>
      <c r="J1393" s="4"/>
      <c r="K1393" s="104"/>
    </row>
    <row r="1394" spans="1:11" s="105" customFormat="1" thickTop="1" thickBot="1" x14ac:dyDescent="0.6">
      <c r="A1394" s="26">
        <v>9</v>
      </c>
      <c r="B1394" s="25">
        <v>1150890</v>
      </c>
      <c r="C1394" s="6" t="s">
        <v>3167</v>
      </c>
      <c r="D1394" s="25" t="s">
        <v>3162</v>
      </c>
      <c r="E1394" s="111">
        <v>761678257</v>
      </c>
      <c r="F1394" s="4">
        <v>269673</v>
      </c>
      <c r="G1394" s="25">
        <v>1</v>
      </c>
      <c r="H1394" s="28">
        <v>45574</v>
      </c>
      <c r="I1394" s="6"/>
      <c r="J1394" s="4"/>
      <c r="K1394" s="104"/>
    </row>
    <row r="1395" spans="1:11" s="105" customFormat="1" thickTop="1" thickBot="1" x14ac:dyDescent="0.6">
      <c r="A1395" s="26">
        <v>10</v>
      </c>
      <c r="B1395" s="25">
        <v>1150891</v>
      </c>
      <c r="C1395" s="6" t="s">
        <v>3168</v>
      </c>
      <c r="D1395" s="25" t="s">
        <v>3162</v>
      </c>
      <c r="E1395" s="111">
        <v>761894496</v>
      </c>
      <c r="F1395" s="4">
        <v>214471</v>
      </c>
      <c r="G1395" s="25">
        <v>1</v>
      </c>
      <c r="H1395" s="28">
        <v>45574</v>
      </c>
      <c r="I1395" s="6"/>
      <c r="J1395" s="4"/>
      <c r="K1395" s="104"/>
    </row>
    <row r="1396" spans="1:11" s="105" customFormat="1" thickTop="1" thickBot="1" x14ac:dyDescent="0.6">
      <c r="A1396" s="26">
        <v>11</v>
      </c>
      <c r="B1396" s="25">
        <v>1150892</v>
      </c>
      <c r="C1396" s="6" t="s">
        <v>3169</v>
      </c>
      <c r="D1396" s="25" t="s">
        <v>3162</v>
      </c>
      <c r="E1396" s="111">
        <v>778024266</v>
      </c>
      <c r="F1396" s="4">
        <v>399116</v>
      </c>
      <c r="G1396" s="25">
        <v>1</v>
      </c>
      <c r="H1396" s="28">
        <v>45574</v>
      </c>
      <c r="I1396" s="6"/>
      <c r="J1396" s="4"/>
      <c r="K1396" s="104"/>
    </row>
    <row r="1397" spans="1:11" s="105" customFormat="1" thickTop="1" thickBot="1" x14ac:dyDescent="0.6">
      <c r="A1397" s="26">
        <v>12</v>
      </c>
      <c r="B1397" s="25">
        <v>1150893</v>
      </c>
      <c r="C1397" s="6" t="s">
        <v>3170</v>
      </c>
      <c r="D1397" s="25" t="s">
        <v>3162</v>
      </c>
      <c r="E1397" s="111"/>
      <c r="F1397" s="4">
        <v>441710</v>
      </c>
      <c r="G1397" s="25">
        <v>1</v>
      </c>
      <c r="H1397" s="28">
        <v>45574</v>
      </c>
      <c r="I1397" s="6"/>
      <c r="J1397" s="4"/>
      <c r="K1397" s="104"/>
    </row>
    <row r="1398" spans="1:11" s="105" customFormat="1" thickTop="1" thickBot="1" x14ac:dyDescent="0.6">
      <c r="A1398" s="26">
        <v>13</v>
      </c>
      <c r="B1398" s="25">
        <v>1150894</v>
      </c>
      <c r="C1398" s="6" t="s">
        <v>3171</v>
      </c>
      <c r="D1398" s="25" t="s">
        <v>3162</v>
      </c>
      <c r="E1398" s="111">
        <v>774554240</v>
      </c>
      <c r="F1398" s="4">
        <v>251523</v>
      </c>
      <c r="G1398" s="25">
        <v>1</v>
      </c>
      <c r="H1398" s="28">
        <v>45574</v>
      </c>
      <c r="I1398" s="6"/>
      <c r="J1398" s="4"/>
      <c r="K1398" s="104"/>
    </row>
    <row r="1399" spans="1:11" s="105" customFormat="1" thickTop="1" thickBot="1" x14ac:dyDescent="0.6">
      <c r="A1399" s="26">
        <v>14</v>
      </c>
      <c r="B1399" s="25">
        <v>1150895</v>
      </c>
      <c r="C1399" s="6" t="s">
        <v>3172</v>
      </c>
      <c r="D1399" s="25" t="s">
        <v>3162</v>
      </c>
      <c r="E1399" s="111">
        <v>764178450</v>
      </c>
      <c r="F1399" s="4">
        <v>411580</v>
      </c>
      <c r="G1399" s="25">
        <v>1</v>
      </c>
      <c r="H1399" s="28">
        <v>45574</v>
      </c>
      <c r="I1399" s="6"/>
      <c r="J1399" s="4"/>
      <c r="K1399" s="104"/>
    </row>
    <row r="1400" spans="1:11" s="105" customFormat="1" thickTop="1" thickBot="1" x14ac:dyDescent="0.6">
      <c r="A1400" s="26">
        <v>15</v>
      </c>
      <c r="B1400" s="25">
        <v>1150896</v>
      </c>
      <c r="C1400" s="6" t="s">
        <v>3173</v>
      </c>
      <c r="D1400" s="25" t="s">
        <v>3162</v>
      </c>
      <c r="E1400" s="111">
        <v>72363316</v>
      </c>
      <c r="F1400" s="4">
        <v>180789</v>
      </c>
      <c r="G1400" s="25">
        <v>1</v>
      </c>
      <c r="H1400" s="28">
        <v>45574</v>
      </c>
      <c r="I1400" s="6"/>
      <c r="J1400" s="4"/>
      <c r="K1400" s="104"/>
    </row>
    <row r="1401" spans="1:11" s="105" customFormat="1" thickTop="1" thickBot="1" x14ac:dyDescent="0.6">
      <c r="A1401" s="26">
        <v>16</v>
      </c>
      <c r="B1401" s="25">
        <v>1150897</v>
      </c>
      <c r="C1401" s="6" t="s">
        <v>3174</v>
      </c>
      <c r="D1401" s="25" t="s">
        <v>3162</v>
      </c>
      <c r="E1401" s="111">
        <v>772686788</v>
      </c>
      <c r="F1401" s="4">
        <v>450562</v>
      </c>
      <c r="G1401" s="25">
        <v>1</v>
      </c>
      <c r="H1401" s="28">
        <v>45574</v>
      </c>
      <c r="I1401" s="6"/>
      <c r="J1401" s="4"/>
      <c r="K1401" s="104"/>
    </row>
    <row r="1402" spans="1:11" s="105" customFormat="1" thickTop="1" thickBot="1" x14ac:dyDescent="0.6">
      <c r="A1402" s="26">
        <v>17</v>
      </c>
      <c r="B1402" s="25">
        <v>1150898</v>
      </c>
      <c r="C1402" s="6" t="s">
        <v>3175</v>
      </c>
      <c r="D1402" s="25" t="s">
        <v>3162</v>
      </c>
      <c r="E1402" s="111">
        <v>759389096</v>
      </c>
      <c r="F1402" s="4">
        <v>282536</v>
      </c>
      <c r="G1402" s="25">
        <v>1</v>
      </c>
      <c r="H1402" s="28">
        <v>45574</v>
      </c>
      <c r="I1402" s="6"/>
      <c r="J1402" s="4"/>
      <c r="K1402" s="104"/>
    </row>
    <row r="1403" spans="1:11" s="105" customFormat="1" thickTop="1" thickBot="1" x14ac:dyDescent="0.6">
      <c r="A1403" s="26">
        <v>18</v>
      </c>
      <c r="B1403" s="25">
        <v>1150899</v>
      </c>
      <c r="C1403" s="6" t="s">
        <v>3176</v>
      </c>
      <c r="D1403" s="25" t="s">
        <v>3162</v>
      </c>
      <c r="E1403" s="111">
        <v>778872194</v>
      </c>
      <c r="F1403" s="4">
        <v>201577</v>
      </c>
      <c r="G1403" s="25">
        <v>1</v>
      </c>
      <c r="H1403" s="28">
        <v>45574</v>
      </c>
      <c r="I1403" s="6"/>
      <c r="J1403" s="4"/>
      <c r="K1403" s="104"/>
    </row>
    <row r="1404" spans="1:11" s="105" customFormat="1" thickTop="1" thickBot="1" x14ac:dyDescent="0.6">
      <c r="A1404" s="26">
        <v>19</v>
      </c>
      <c r="B1404" s="25">
        <v>1150900</v>
      </c>
      <c r="C1404" s="6" t="s">
        <v>3177</v>
      </c>
      <c r="D1404" s="25" t="s">
        <v>3162</v>
      </c>
      <c r="E1404" s="111">
        <v>774869511</v>
      </c>
      <c r="F1404" s="4">
        <v>247117</v>
      </c>
      <c r="G1404" s="25">
        <v>1</v>
      </c>
      <c r="H1404" s="28">
        <v>45574</v>
      </c>
      <c r="I1404" s="6"/>
      <c r="J1404" s="4"/>
      <c r="K1404" s="104"/>
    </row>
    <row r="1405" spans="1:11" s="105" customFormat="1" thickTop="1" thickBot="1" x14ac:dyDescent="0.6">
      <c r="A1405" s="26">
        <v>20</v>
      </c>
      <c r="B1405" s="25">
        <v>1150907</v>
      </c>
      <c r="C1405" s="6" t="s">
        <v>3178</v>
      </c>
      <c r="D1405" s="25" t="s">
        <v>3162</v>
      </c>
      <c r="E1405" s="111">
        <v>769374923</v>
      </c>
      <c r="F1405" s="4">
        <v>223811</v>
      </c>
      <c r="G1405" s="25">
        <v>1</v>
      </c>
      <c r="H1405" s="28">
        <v>45577</v>
      </c>
      <c r="I1405" s="6"/>
      <c r="J1405" s="4"/>
      <c r="K1405" s="104"/>
    </row>
    <row r="1406" spans="1:11" s="105" customFormat="1" thickTop="1" thickBot="1" x14ac:dyDescent="0.6">
      <c r="A1406" s="26">
        <v>21</v>
      </c>
      <c r="B1406" s="25">
        <v>1151121</v>
      </c>
      <c r="C1406" s="6" t="s">
        <v>3210</v>
      </c>
      <c r="D1406" s="25" t="s">
        <v>3162</v>
      </c>
      <c r="E1406" s="111">
        <v>754645817</v>
      </c>
      <c r="F1406" s="4">
        <v>355464</v>
      </c>
      <c r="G1406" s="25">
        <v>1</v>
      </c>
      <c r="H1406" s="28">
        <v>45604</v>
      </c>
      <c r="I1406" s="6"/>
      <c r="J1406" s="4"/>
      <c r="K1406" s="104"/>
    </row>
    <row r="1407" spans="1:11" s="105" customFormat="1" thickTop="1" thickBot="1" x14ac:dyDescent="0.6">
      <c r="A1407" s="26">
        <v>22</v>
      </c>
      <c r="B1407" s="25">
        <v>1151122</v>
      </c>
      <c r="C1407" s="6" t="s">
        <v>3211</v>
      </c>
      <c r="D1407" s="25" t="s">
        <v>3162</v>
      </c>
      <c r="E1407" s="111" t="s">
        <v>3212</v>
      </c>
      <c r="F1407" s="4">
        <v>358039</v>
      </c>
      <c r="G1407" s="25">
        <v>1</v>
      </c>
      <c r="H1407" s="28">
        <v>45604</v>
      </c>
      <c r="I1407" s="6"/>
      <c r="J1407" s="4"/>
      <c r="K1407" s="104"/>
    </row>
    <row r="1408" spans="1:11" s="105" customFormat="1" thickTop="1" thickBot="1" x14ac:dyDescent="0.6">
      <c r="A1408" s="26">
        <v>23</v>
      </c>
      <c r="B1408" s="25">
        <v>1151123</v>
      </c>
      <c r="C1408" s="6" t="s">
        <v>3213</v>
      </c>
      <c r="D1408" s="25" t="s">
        <v>3162</v>
      </c>
      <c r="E1408" s="111">
        <v>772826996</v>
      </c>
      <c r="F1408" s="4">
        <v>339898</v>
      </c>
      <c r="G1408" s="25">
        <v>1</v>
      </c>
      <c r="H1408" s="28">
        <v>45604</v>
      </c>
      <c r="I1408" s="6"/>
      <c r="J1408" s="4"/>
      <c r="K1408" s="104"/>
    </row>
    <row r="1409" spans="1:11" s="105" customFormat="1" thickTop="1" thickBot="1" x14ac:dyDescent="0.6">
      <c r="A1409" s="26">
        <v>24</v>
      </c>
      <c r="B1409" s="25">
        <v>1151136</v>
      </c>
      <c r="C1409" s="6" t="s">
        <v>3214</v>
      </c>
      <c r="D1409" s="25" t="s">
        <v>3162</v>
      </c>
      <c r="E1409" s="111">
        <v>71120185</v>
      </c>
      <c r="F1409" s="4">
        <v>438856</v>
      </c>
      <c r="G1409" s="25">
        <v>1</v>
      </c>
      <c r="H1409" s="28">
        <v>45604</v>
      </c>
      <c r="I1409" s="6"/>
      <c r="J1409" s="4"/>
      <c r="K1409" s="104"/>
    </row>
    <row r="1410" spans="1:11" s="105" customFormat="1" thickTop="1" thickBot="1" x14ac:dyDescent="0.6">
      <c r="A1410" s="26">
        <v>25</v>
      </c>
      <c r="B1410" s="43"/>
      <c r="C1410" s="6"/>
      <c r="D1410" s="25" t="s">
        <v>3162</v>
      </c>
      <c r="E1410" s="111"/>
      <c r="F1410" s="4"/>
      <c r="G1410" s="26"/>
      <c r="H1410" s="6"/>
      <c r="I1410" s="6"/>
      <c r="J1410" s="4"/>
      <c r="K1410" s="104"/>
    </row>
    <row r="1411" spans="1:11" s="57" customFormat="1" ht="31.2" thickTop="1" thickBot="1" x14ac:dyDescent="1.1499999999999999">
      <c r="A1411" s="50"/>
      <c r="B1411" s="51"/>
      <c r="C1411" s="41">
        <f>COUNTA(C2:C1410)</f>
        <v>761</v>
      </c>
      <c r="D1411" s="63"/>
      <c r="E1411" s="113"/>
      <c r="F1411" s="54"/>
      <c r="G1411" s="41">
        <f>SUM(G2:G1409)</f>
        <v>776</v>
      </c>
      <c r="H1411" s="52"/>
      <c r="I1411" s="55"/>
      <c r="J1411" s="53"/>
      <c r="K1411" s="56"/>
    </row>
    <row r="1412" spans="1:11" thickTop="1" thickBot="1" x14ac:dyDescent="0.6">
      <c r="B1412" s="58"/>
      <c r="C1412" s="59"/>
      <c r="G1412" s="60"/>
      <c r="H1412" s="7"/>
    </row>
    <row r="1415" spans="1:11" ht="14.4" x14ac:dyDescent="0.55000000000000004"/>
    <row r="1416" spans="1:11" ht="14.4" x14ac:dyDescent="0.55000000000000004"/>
  </sheetData>
  <autoFilter ref="A1:Z1412" xr:uid="{00000000-0009-0000-0000-000001000000}"/>
  <conditionalFormatting sqref="B1410:B1048576 B1:B1385">
    <cfRule type="duplicateValues" dxfId="14" priority="6"/>
  </conditionalFormatting>
  <conditionalFormatting sqref="C1410:C1048576 C1:C1385">
    <cfRule type="duplicateValues" dxfId="13" priority="2"/>
  </conditionalFormatting>
  <conditionalFormatting sqref="E1410:E1048576 E1:E1385">
    <cfRule type="duplicateValues" dxfId="12" priority="3"/>
  </conditionalFormatting>
  <conditionalFormatting sqref="F1410:F1048576 F1:F1385">
    <cfRule type="duplicateValues" dxfId="11" priority="5"/>
    <cfRule type="duplicateValues" dxfId="10" priority="7"/>
  </conditionalFormatting>
  <conditionalFormatting sqref="H1:H1048576">
    <cfRule type="duplicateValues" dxfId="9" priority="1"/>
  </conditionalFormatting>
  <conditionalFormatting sqref="J1:J1048576">
    <cfRule type="duplicateValues" dxfId="8" priority="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5BC0-EE3C-46FC-A315-31AA1DA806E1}">
  <sheetPr>
    <tabColor rgb="FF0070C0"/>
  </sheetPr>
  <dimension ref="A1:F48"/>
  <sheetViews>
    <sheetView tabSelected="1" zoomScale="70" zoomScaleNormal="70" workbookViewId="0">
      <selection activeCell="D8" sqref="D8"/>
    </sheetView>
  </sheetViews>
  <sheetFormatPr defaultColWidth="8.89453125" defaultRowHeight="25.8" x14ac:dyDescent="0.95"/>
  <cols>
    <col min="1" max="1" width="11.89453125" style="68" customWidth="1"/>
    <col min="2" max="2" width="36.5234375" style="69" customWidth="1"/>
    <col min="3" max="3" width="42" style="69" customWidth="1"/>
    <col min="4" max="4" width="27.5234375" style="12" customWidth="1"/>
    <col min="5" max="5" width="30.20703125" style="12" customWidth="1"/>
    <col min="6" max="6" width="36.20703125" style="12" customWidth="1"/>
    <col min="7" max="16384" width="8.89453125" style="12"/>
  </cols>
  <sheetData>
    <row r="1" spans="1:6" ht="26.4" thickTop="1" thickBot="1" x14ac:dyDescent="1">
      <c r="A1" s="118" t="s">
        <v>3259</v>
      </c>
      <c r="B1" s="119"/>
      <c r="C1" s="120"/>
      <c r="E1" s="121" t="s">
        <v>3459</v>
      </c>
      <c r="F1" s="121"/>
    </row>
    <row r="2" spans="1:6" ht="26.1" thickTop="1" x14ac:dyDescent="0.95">
      <c r="A2" s="117" t="s">
        <v>0</v>
      </c>
      <c r="B2" s="117" t="s">
        <v>3449</v>
      </c>
      <c r="C2" s="117" t="s">
        <v>3456</v>
      </c>
      <c r="D2" s="12" t="s">
        <v>3458</v>
      </c>
      <c r="E2" s="12" t="s">
        <v>3460</v>
      </c>
      <c r="F2" s="12" t="s">
        <v>3461</v>
      </c>
    </row>
    <row r="3" spans="1:6" ht="28.8" thickBot="1" x14ac:dyDescent="1.2">
      <c r="A3" s="114">
        <v>1</v>
      </c>
      <c r="B3" s="115" t="s">
        <v>1634</v>
      </c>
      <c r="C3" s="115">
        <f>SUM(ESTATE!G2:G25)</f>
        <v>16</v>
      </c>
      <c r="D3" s="115" t="s">
        <v>1634</v>
      </c>
      <c r="E3" s="12">
        <v>10</v>
      </c>
      <c r="F3" s="12">
        <v>15</v>
      </c>
    </row>
    <row r="4" spans="1:6" ht="29.1" thickTop="1" thickBot="1" x14ac:dyDescent="1.2">
      <c r="A4" s="64">
        <v>2</v>
      </c>
      <c r="B4" s="66" t="s">
        <v>1658</v>
      </c>
      <c r="C4" s="66">
        <f>SUM(ESTATE!G26:G123)</f>
        <v>62</v>
      </c>
      <c r="D4" s="66" t="s">
        <v>1658</v>
      </c>
      <c r="E4" s="12">
        <v>10</v>
      </c>
      <c r="F4" s="12">
        <v>15</v>
      </c>
    </row>
    <row r="5" spans="1:6" ht="29.1" thickTop="1" thickBot="1" x14ac:dyDescent="1.2">
      <c r="A5" s="64">
        <v>3</v>
      </c>
      <c r="B5" s="66" t="s">
        <v>1738</v>
      </c>
      <c r="C5" s="66">
        <f>SUM(ESTATE!G124:G179)</f>
        <v>32</v>
      </c>
      <c r="D5" s="66" t="s">
        <v>1738</v>
      </c>
      <c r="E5" s="12">
        <v>10</v>
      </c>
      <c r="F5" s="12">
        <v>15</v>
      </c>
    </row>
    <row r="6" spans="1:6" ht="29.1" thickTop="1" thickBot="1" x14ac:dyDescent="1.2">
      <c r="A6" s="64">
        <v>4</v>
      </c>
      <c r="B6" s="66" t="s">
        <v>1783</v>
      </c>
      <c r="C6" s="66">
        <f>SUM(ESTATE!G180:G192)</f>
        <v>23</v>
      </c>
      <c r="D6" s="66" t="s">
        <v>1783</v>
      </c>
      <c r="E6" s="12">
        <v>10</v>
      </c>
      <c r="F6" s="12">
        <v>15</v>
      </c>
    </row>
    <row r="7" spans="1:6" ht="29.1" thickTop="1" thickBot="1" x14ac:dyDescent="1.2">
      <c r="A7" s="64">
        <v>5</v>
      </c>
      <c r="B7" s="66" t="s">
        <v>2801</v>
      </c>
      <c r="C7" s="66">
        <f>SUM(ESTATE!G193:G252)</f>
        <v>26</v>
      </c>
      <c r="D7" s="66" t="s">
        <v>2801</v>
      </c>
      <c r="E7" s="12">
        <v>10</v>
      </c>
      <c r="F7" s="12">
        <v>15</v>
      </c>
    </row>
    <row r="8" spans="1:6" ht="29.1" thickTop="1" thickBot="1" x14ac:dyDescent="1.2">
      <c r="A8" s="64">
        <v>6</v>
      </c>
      <c r="B8" s="66" t="s">
        <v>2802</v>
      </c>
      <c r="C8" s="66">
        <f>SUM(ESTATE!G253:G377)</f>
        <v>74</v>
      </c>
      <c r="D8" s="66" t="s">
        <v>2802</v>
      </c>
      <c r="E8" s="12">
        <v>10</v>
      </c>
      <c r="F8" s="12">
        <v>15</v>
      </c>
    </row>
    <row r="9" spans="1:6" ht="29.1" thickTop="1" thickBot="1" x14ac:dyDescent="1.2">
      <c r="A9" s="64">
        <v>7</v>
      </c>
      <c r="B9" s="66" t="s">
        <v>1953</v>
      </c>
      <c r="C9" s="66">
        <f>SUM(ESTATE!G378:G386)</f>
        <v>9</v>
      </c>
      <c r="D9" s="66" t="s">
        <v>1953</v>
      </c>
      <c r="E9" s="12">
        <v>10</v>
      </c>
      <c r="F9" s="12">
        <v>15</v>
      </c>
    </row>
    <row r="10" spans="1:6" ht="29.1" thickTop="1" thickBot="1" x14ac:dyDescent="1.2">
      <c r="A10" s="64">
        <v>8</v>
      </c>
      <c r="B10" s="66" t="s">
        <v>1962</v>
      </c>
      <c r="C10" s="66">
        <f>SUM(ESTATE!G388:G446)</f>
        <v>35</v>
      </c>
      <c r="D10" s="66" t="s">
        <v>1962</v>
      </c>
      <c r="E10" s="12">
        <v>10</v>
      </c>
      <c r="F10" s="12">
        <v>15</v>
      </c>
    </row>
    <row r="11" spans="1:6" ht="29.1" thickTop="1" thickBot="1" x14ac:dyDescent="1.2">
      <c r="A11" s="64">
        <v>9</v>
      </c>
      <c r="B11" s="66" t="s">
        <v>2002</v>
      </c>
      <c r="C11" s="66">
        <f>SUM(ESTATE!G447:G581)</f>
        <v>63</v>
      </c>
      <c r="D11" s="66" t="s">
        <v>2002</v>
      </c>
      <c r="E11" s="12">
        <v>10</v>
      </c>
      <c r="F11" s="12">
        <v>15</v>
      </c>
    </row>
    <row r="12" spans="1:6" ht="29.1" thickTop="1" thickBot="1" x14ac:dyDescent="1.2">
      <c r="A12" s="64">
        <v>10</v>
      </c>
      <c r="B12" s="66" t="s">
        <v>2104</v>
      </c>
      <c r="C12" s="66">
        <f>SUM(ESTATE!G582:G721)</f>
        <v>40</v>
      </c>
      <c r="D12" s="66" t="s">
        <v>2104</v>
      </c>
      <c r="E12" s="12">
        <v>10</v>
      </c>
      <c r="F12" s="12">
        <v>15</v>
      </c>
    </row>
    <row r="13" spans="1:6" ht="29.1" thickTop="1" thickBot="1" x14ac:dyDescent="1.2">
      <c r="A13" s="64">
        <v>11</v>
      </c>
      <c r="B13" s="66" t="s">
        <v>2831</v>
      </c>
      <c r="C13" s="66">
        <f>SUM(ESTATE!G722:G798)</f>
        <v>52</v>
      </c>
      <c r="D13" s="66" t="s">
        <v>2831</v>
      </c>
      <c r="E13" s="12">
        <v>10</v>
      </c>
      <c r="F13" s="12">
        <v>15</v>
      </c>
    </row>
    <row r="14" spans="1:6" ht="29.1" thickTop="1" thickBot="1" x14ac:dyDescent="1.2">
      <c r="A14" s="64">
        <v>12</v>
      </c>
      <c r="B14" s="66" t="s">
        <v>2235</v>
      </c>
      <c r="C14" s="66">
        <f>SUM(ESTATE!G799:G921)</f>
        <v>85</v>
      </c>
      <c r="D14" s="66" t="s">
        <v>2235</v>
      </c>
      <c r="E14" s="12">
        <v>10</v>
      </c>
      <c r="F14" s="12">
        <v>15</v>
      </c>
    </row>
    <row r="15" spans="1:6" ht="29.1" thickTop="1" thickBot="1" x14ac:dyDescent="1.2">
      <c r="A15" s="64">
        <v>13</v>
      </c>
      <c r="B15" s="66" t="s">
        <v>2376</v>
      </c>
      <c r="C15" s="66">
        <f>SUM(ESTATE!G922:G1027)</f>
        <v>62</v>
      </c>
      <c r="D15" s="66" t="s">
        <v>2376</v>
      </c>
      <c r="E15" s="12">
        <v>10</v>
      </c>
      <c r="F15" s="12">
        <v>15</v>
      </c>
    </row>
    <row r="16" spans="1:6" ht="29.1" thickTop="1" thickBot="1" x14ac:dyDescent="1.2">
      <c r="A16" s="65">
        <v>14</v>
      </c>
      <c r="B16" s="67" t="s">
        <v>2467</v>
      </c>
      <c r="C16" s="67">
        <f>SUM(ESTATE!G1028:G1207)</f>
        <v>77</v>
      </c>
      <c r="D16" s="67" t="s">
        <v>2467</v>
      </c>
      <c r="E16" s="12">
        <v>10</v>
      </c>
      <c r="F16" s="12">
        <v>15</v>
      </c>
    </row>
    <row r="17" spans="1:6" ht="29.1" thickTop="1" thickBot="1" x14ac:dyDescent="1.2">
      <c r="A17" s="64">
        <v>15</v>
      </c>
      <c r="B17" s="66" t="s">
        <v>2552</v>
      </c>
      <c r="C17" s="66">
        <f>SUM(ESTATE!G1208:G1385)</f>
        <v>95</v>
      </c>
      <c r="D17" s="66" t="s">
        <v>2552</v>
      </c>
      <c r="E17" s="12">
        <v>10</v>
      </c>
      <c r="F17" s="12">
        <v>15</v>
      </c>
    </row>
    <row r="18" spans="1:6" ht="29.1" thickTop="1" thickBot="1" x14ac:dyDescent="1">
      <c r="A18" s="65">
        <v>17</v>
      </c>
      <c r="B18" s="90" t="s">
        <v>1627</v>
      </c>
      <c r="C18" s="89">
        <f>COUNTIF(HT!E2:E1011,"APPROCH ROAD FRUTILL")</f>
        <v>1</v>
      </c>
      <c r="D18" s="12" t="s">
        <v>3457</v>
      </c>
      <c r="E18" s="12">
        <v>20</v>
      </c>
      <c r="F18" s="12">
        <v>25</v>
      </c>
    </row>
    <row r="19" spans="1:6" ht="36" customHeight="1" thickTop="1" thickBot="1" x14ac:dyDescent="1">
      <c r="A19" s="64">
        <v>18</v>
      </c>
      <c r="B19" s="90" t="s">
        <v>3136</v>
      </c>
      <c r="C19" s="89">
        <f>COUNTIF(HT!E2:E1011,"ARIYAGAMA")</f>
        <v>62</v>
      </c>
      <c r="D19" s="12" t="s">
        <v>3457</v>
      </c>
      <c r="E19" s="12">
        <v>20</v>
      </c>
      <c r="F19" s="12">
        <v>25</v>
      </c>
    </row>
    <row r="20" spans="1:6" ht="29.1" thickTop="1" thickBot="1" x14ac:dyDescent="1">
      <c r="A20" s="64">
        <v>19</v>
      </c>
      <c r="B20" s="90" t="s">
        <v>23</v>
      </c>
      <c r="C20" s="89">
        <f>COUNTIF(HT!E2:E1011,"B.TOWN")</f>
        <v>107</v>
      </c>
      <c r="D20" s="12" t="s">
        <v>3457</v>
      </c>
      <c r="E20" s="12">
        <v>20</v>
      </c>
      <c r="F20" s="12">
        <v>25</v>
      </c>
    </row>
    <row r="21" spans="1:6" ht="29.1" thickTop="1" thickBot="1" x14ac:dyDescent="1">
      <c r="A21" s="65">
        <v>20</v>
      </c>
      <c r="B21" s="90" t="s">
        <v>63</v>
      </c>
      <c r="C21" s="89">
        <f>COUNTIF(HT!E2:E1011,"BJAU KOTTAGE")</f>
        <v>30</v>
      </c>
      <c r="D21" s="12" t="s">
        <v>3457</v>
      </c>
      <c r="E21" s="12">
        <v>20</v>
      </c>
      <c r="F21" s="12">
        <v>25</v>
      </c>
    </row>
    <row r="22" spans="1:6" ht="29.1" thickTop="1" thickBot="1" x14ac:dyDescent="1">
      <c r="A22" s="64">
        <v>21</v>
      </c>
      <c r="B22" s="90" t="s">
        <v>125</v>
      </c>
      <c r="C22" s="89">
        <f>COUNTIF(HT!E2:E1011,"BUS STAND")</f>
        <v>15</v>
      </c>
      <c r="D22" s="12" t="s">
        <v>3457</v>
      </c>
      <c r="E22" s="12">
        <v>20</v>
      </c>
      <c r="F22" s="12">
        <v>25</v>
      </c>
    </row>
    <row r="23" spans="1:6" ht="29.1" thickTop="1" thickBot="1" x14ac:dyDescent="1">
      <c r="A23" s="64">
        <v>22</v>
      </c>
      <c r="B23" s="90" t="s">
        <v>6</v>
      </c>
      <c r="C23" s="89">
        <f>COUNTIF(HT!E2:E1011,"CIRCULAR ROAD")</f>
        <v>66</v>
      </c>
      <c r="D23" s="12" t="s">
        <v>3457</v>
      </c>
      <c r="E23" s="12">
        <v>20</v>
      </c>
      <c r="F23" s="12">
        <v>25</v>
      </c>
    </row>
    <row r="24" spans="1:6" ht="29.1" thickTop="1" thickBot="1" x14ac:dyDescent="1">
      <c r="A24" s="65">
        <v>23</v>
      </c>
      <c r="B24" s="90" t="s">
        <v>370</v>
      </c>
      <c r="C24" s="89">
        <f>COUNTIF(HT!E2:E1011,"DEPPOT ROAD")</f>
        <v>7</v>
      </c>
      <c r="D24" s="12" t="s">
        <v>3457</v>
      </c>
      <c r="E24" s="12">
        <v>20</v>
      </c>
      <c r="F24" s="12">
        <v>25</v>
      </c>
    </row>
    <row r="25" spans="1:6" ht="29.1" thickTop="1" thickBot="1" x14ac:dyDescent="1">
      <c r="A25" s="64">
        <v>24</v>
      </c>
      <c r="B25" s="90" t="s">
        <v>573</v>
      </c>
      <c r="C25" s="89">
        <f>COUNTIF(HT!E2:E1011,"DICKOYA HOSPITAL")</f>
        <v>3</v>
      </c>
      <c r="D25" s="12" t="s">
        <v>3457</v>
      </c>
      <c r="E25" s="12">
        <v>20</v>
      </c>
      <c r="F25" s="12">
        <v>25</v>
      </c>
    </row>
    <row r="26" spans="1:6" ht="29.1" thickTop="1" thickBot="1" x14ac:dyDescent="1">
      <c r="A26" s="64">
        <v>25</v>
      </c>
      <c r="B26" s="90" t="s">
        <v>123</v>
      </c>
      <c r="C26" s="89">
        <f>COUNTIF(HT!E2:E1011,"DICKOYA ROAD")</f>
        <v>3</v>
      </c>
      <c r="D26" s="12" t="s">
        <v>3457</v>
      </c>
      <c r="E26" s="12">
        <v>20</v>
      </c>
      <c r="F26" s="12">
        <v>25</v>
      </c>
    </row>
    <row r="27" spans="1:6" ht="29.1" thickTop="1" thickBot="1" x14ac:dyDescent="1">
      <c r="A27" s="65">
        <v>26</v>
      </c>
      <c r="B27" s="90" t="s">
        <v>50</v>
      </c>
      <c r="C27" s="89">
        <f>COUNTIF(HT!E2:E1011,"DIMBULLA ROAD")</f>
        <v>60</v>
      </c>
      <c r="D27" s="12" t="s">
        <v>3457</v>
      </c>
      <c r="E27" s="12">
        <v>20</v>
      </c>
      <c r="F27" s="12">
        <v>25</v>
      </c>
    </row>
    <row r="28" spans="1:6" ht="29.1" thickTop="1" thickBot="1" x14ac:dyDescent="1">
      <c r="A28" s="64">
        <v>27</v>
      </c>
      <c r="B28" s="90" t="s">
        <v>78</v>
      </c>
      <c r="C28" s="89">
        <f>COUNTIF(HT!E2:E1011,"DUMBRUGIRIYA")</f>
        <v>50</v>
      </c>
      <c r="D28" s="12" t="s">
        <v>3457</v>
      </c>
      <c r="E28" s="12">
        <v>20</v>
      </c>
      <c r="F28" s="12">
        <v>25</v>
      </c>
    </row>
    <row r="29" spans="1:6" ht="29.1" thickTop="1" thickBot="1" x14ac:dyDescent="1">
      <c r="A29" s="64">
        <v>28</v>
      </c>
      <c r="B29" s="90" t="s">
        <v>57</v>
      </c>
      <c r="C29" s="89">
        <f>COUNTIF(HT!E2:E1011,"DUNBAR ROAD")</f>
        <v>52</v>
      </c>
      <c r="D29" s="12" t="s">
        <v>3457</v>
      </c>
      <c r="E29" s="12">
        <v>20</v>
      </c>
      <c r="F29" s="12">
        <v>25</v>
      </c>
    </row>
    <row r="30" spans="1:6" ht="29.1" thickTop="1" thickBot="1" x14ac:dyDescent="1">
      <c r="A30" s="65">
        <v>29</v>
      </c>
      <c r="B30" s="90" t="s">
        <v>30</v>
      </c>
      <c r="C30" s="89">
        <f>COUNTIF(HT!E2:E1011,"HATTON HOUSE")</f>
        <v>2</v>
      </c>
      <c r="D30" s="12" t="s">
        <v>3457</v>
      </c>
      <c r="E30" s="12">
        <v>20</v>
      </c>
      <c r="F30" s="12">
        <v>25</v>
      </c>
    </row>
    <row r="31" spans="1:6" ht="29.1" thickTop="1" thickBot="1" x14ac:dyDescent="1">
      <c r="A31" s="64">
        <v>30</v>
      </c>
      <c r="B31" s="90" t="s">
        <v>95</v>
      </c>
      <c r="C31" s="89">
        <f>COUNTIF(HT!E2:E1011,"HATTON POLICE")</f>
        <v>8</v>
      </c>
      <c r="D31" s="12" t="s">
        <v>3457</v>
      </c>
      <c r="E31" s="12">
        <v>20</v>
      </c>
      <c r="F31" s="12">
        <v>25</v>
      </c>
    </row>
    <row r="32" spans="1:6" ht="29.1" thickTop="1" thickBot="1" x14ac:dyDescent="1">
      <c r="A32" s="64">
        <v>31</v>
      </c>
      <c r="B32" s="90" t="s">
        <v>12</v>
      </c>
      <c r="C32" s="89">
        <f>COUNTIF(HT!E2:E1011,"HATTON TOWN")</f>
        <v>16</v>
      </c>
      <c r="D32" s="12" t="s">
        <v>3457</v>
      </c>
      <c r="E32" s="12">
        <v>20</v>
      </c>
      <c r="F32" s="12">
        <v>25</v>
      </c>
    </row>
    <row r="33" spans="1:6" ht="29.1" thickTop="1" thickBot="1" x14ac:dyDescent="1">
      <c r="A33" s="65">
        <v>32</v>
      </c>
      <c r="B33" s="90" t="s">
        <v>43</v>
      </c>
      <c r="C33" s="89">
        <f>COUNTIF(HT!E2:E1011,"HIJIRAPURA")</f>
        <v>100</v>
      </c>
      <c r="D33" s="12" t="s">
        <v>3457</v>
      </c>
      <c r="E33" s="12">
        <v>20</v>
      </c>
      <c r="F33" s="12">
        <v>25</v>
      </c>
    </row>
    <row r="34" spans="1:6" ht="29.1" thickTop="1" thickBot="1" x14ac:dyDescent="1">
      <c r="A34" s="64">
        <v>33</v>
      </c>
      <c r="B34" s="90" t="s">
        <v>161</v>
      </c>
      <c r="C34" s="89">
        <f>COUNTIF(HT!E2:E1011,"HILL STREET")</f>
        <v>17</v>
      </c>
      <c r="D34" s="12" t="s">
        <v>3457</v>
      </c>
      <c r="E34" s="12">
        <v>20</v>
      </c>
      <c r="F34" s="12">
        <v>25</v>
      </c>
    </row>
    <row r="35" spans="1:6" ht="29.1" thickTop="1" thickBot="1" x14ac:dyDescent="1">
      <c r="A35" s="64">
        <v>34</v>
      </c>
      <c r="B35" s="90" t="s">
        <v>135</v>
      </c>
      <c r="C35" s="89">
        <f>COUNTIF(HT!E2:E1011,"KANDHAIYA BUILDING")</f>
        <v>13</v>
      </c>
      <c r="D35" s="12" t="s">
        <v>3457</v>
      </c>
      <c r="E35" s="12">
        <v>20</v>
      </c>
      <c r="F35" s="12">
        <v>25</v>
      </c>
    </row>
    <row r="36" spans="1:6" ht="29.1" thickTop="1" thickBot="1" x14ac:dyDescent="1">
      <c r="A36" s="65">
        <v>35</v>
      </c>
      <c r="B36" s="90" t="s">
        <v>3105</v>
      </c>
      <c r="C36" s="89">
        <f>COUNTIF(HT!E2:E1011,"MAIN STREET")</f>
        <v>1</v>
      </c>
      <c r="D36" s="12" t="s">
        <v>3457</v>
      </c>
      <c r="E36" s="12">
        <v>20</v>
      </c>
      <c r="F36" s="12">
        <v>25</v>
      </c>
    </row>
    <row r="37" spans="1:6" ht="29.1" thickTop="1" thickBot="1" x14ac:dyDescent="1">
      <c r="A37" s="64">
        <v>36</v>
      </c>
      <c r="B37" s="90" t="s">
        <v>507</v>
      </c>
      <c r="C37" s="89">
        <f>COUNTIF(HT!E2:E1011,"MALLIYAPU TOWN")</f>
        <v>9</v>
      </c>
      <c r="D37" s="12" t="s">
        <v>3457</v>
      </c>
      <c r="E37" s="12">
        <v>20</v>
      </c>
      <c r="F37" s="12">
        <v>25</v>
      </c>
    </row>
    <row r="38" spans="1:6" ht="29.1" thickTop="1" thickBot="1" x14ac:dyDescent="1">
      <c r="A38" s="64">
        <v>37</v>
      </c>
      <c r="B38" s="90" t="s">
        <v>24</v>
      </c>
      <c r="C38" s="89">
        <f>COUNTIF(HT!E2:E1011,"MARKET")</f>
        <v>18</v>
      </c>
      <c r="D38" s="12" t="s">
        <v>3457</v>
      </c>
      <c r="E38" s="12">
        <v>20</v>
      </c>
      <c r="F38" s="12">
        <v>25</v>
      </c>
    </row>
    <row r="39" spans="1:6" ht="29.1" thickTop="1" thickBot="1" x14ac:dyDescent="1">
      <c r="A39" s="65">
        <v>38</v>
      </c>
      <c r="B39" s="90" t="s">
        <v>17</v>
      </c>
      <c r="C39" s="89">
        <f>COUNTIF(HT!E2:E1011,"MENDIS MAWATHA")</f>
        <v>34</v>
      </c>
      <c r="D39" s="12" t="s">
        <v>3457</v>
      </c>
      <c r="E39" s="12">
        <v>20</v>
      </c>
      <c r="F39" s="12">
        <v>25</v>
      </c>
    </row>
    <row r="40" spans="1:6" ht="29.1" thickTop="1" thickBot="1" x14ac:dyDescent="1">
      <c r="A40" s="64">
        <v>39</v>
      </c>
      <c r="B40" s="90" t="s">
        <v>85</v>
      </c>
      <c r="C40" s="89">
        <f>COUNTIF(HT!E2:E1011,"MR TOWN")</f>
        <v>8</v>
      </c>
      <c r="D40" s="12" t="s">
        <v>3457</v>
      </c>
      <c r="E40" s="12">
        <v>20</v>
      </c>
      <c r="F40" s="12">
        <v>25</v>
      </c>
    </row>
    <row r="41" spans="1:6" ht="29.1" thickTop="1" thickBot="1" x14ac:dyDescent="1">
      <c r="A41" s="64">
        <v>40</v>
      </c>
      <c r="B41" s="90" t="s">
        <v>316</v>
      </c>
      <c r="C41" s="89">
        <f>COUNTIF(HT!E2:E1011,"PONNAGAR")</f>
        <v>2</v>
      </c>
      <c r="D41" s="12" t="s">
        <v>3457</v>
      </c>
      <c r="E41" s="12">
        <v>20</v>
      </c>
      <c r="F41" s="12">
        <v>25</v>
      </c>
    </row>
    <row r="42" spans="1:6" ht="29.1" thickTop="1" thickBot="1" x14ac:dyDescent="1">
      <c r="A42" s="65">
        <v>41</v>
      </c>
      <c r="B42" s="90" t="s">
        <v>52</v>
      </c>
      <c r="C42" s="89">
        <f>COUNTIF(HT!E2:E1011,"SAI STREET")</f>
        <v>8</v>
      </c>
      <c r="D42" s="12" t="s">
        <v>3457</v>
      </c>
      <c r="E42" s="12">
        <v>20</v>
      </c>
      <c r="F42" s="12">
        <v>25</v>
      </c>
    </row>
    <row r="43" spans="1:6" ht="29.1" thickTop="1" thickBot="1" x14ac:dyDescent="1">
      <c r="A43" s="64">
        <v>42</v>
      </c>
      <c r="B43" s="90" t="s">
        <v>3137</v>
      </c>
      <c r="C43" s="89">
        <f>COUNTIF(HT!E2:E1011,"SAMANALAGAMA")</f>
        <v>37</v>
      </c>
      <c r="D43" s="12" t="s">
        <v>3457</v>
      </c>
      <c r="E43" s="12">
        <v>20</v>
      </c>
      <c r="F43" s="12">
        <v>25</v>
      </c>
    </row>
    <row r="44" spans="1:6" ht="29.1" thickTop="1" thickBot="1" x14ac:dyDescent="1">
      <c r="A44" s="64">
        <v>43</v>
      </c>
      <c r="B44" s="90" t="s">
        <v>1609</v>
      </c>
      <c r="C44" s="89">
        <f>COUNTIF(HT!E2:E1011,"SIDE STREET")</f>
        <v>2</v>
      </c>
      <c r="D44" s="12" t="s">
        <v>3457</v>
      </c>
      <c r="E44" s="12">
        <v>20</v>
      </c>
      <c r="F44" s="12">
        <v>25</v>
      </c>
    </row>
    <row r="45" spans="1:6" ht="29.1" thickTop="1" thickBot="1" x14ac:dyDescent="1">
      <c r="A45" s="65">
        <v>44</v>
      </c>
      <c r="B45" s="90" t="s">
        <v>3116</v>
      </c>
      <c r="C45" s="89">
        <f>COUNTIF(HT!E2:E1011,"STAR SQUARE BUILDING")</f>
        <v>1</v>
      </c>
      <c r="D45" s="12" t="s">
        <v>3457</v>
      </c>
      <c r="E45" s="12">
        <v>20</v>
      </c>
      <c r="F45" s="12">
        <v>25</v>
      </c>
    </row>
    <row r="46" spans="1:6" ht="29.1" thickTop="1" thickBot="1" x14ac:dyDescent="1">
      <c r="A46" s="64">
        <v>45</v>
      </c>
      <c r="B46" s="90" t="s">
        <v>3045</v>
      </c>
      <c r="C46" s="89">
        <f>COUNTIF(HT!E2:E1011,"SUNDAY FAIR")</f>
        <v>4</v>
      </c>
      <c r="D46" s="12" t="s">
        <v>3457</v>
      </c>
      <c r="E46" s="12">
        <v>20</v>
      </c>
      <c r="F46" s="12">
        <v>25</v>
      </c>
    </row>
    <row r="47" spans="1:6" ht="26.4" thickTop="1" thickBot="1" x14ac:dyDescent="1">
      <c r="A47" s="70"/>
      <c r="B47" s="70" t="s">
        <v>2832</v>
      </c>
      <c r="C47" s="71">
        <f>SUM(C3:C46)</f>
        <v>1487</v>
      </c>
    </row>
    <row r="48" spans="1:6" ht="26.1" thickTop="1" x14ac:dyDescent="0.95"/>
  </sheetData>
  <mergeCells count="2">
    <mergeCell ref="A1:C1"/>
    <mergeCell ref="E1:F1"/>
  </mergeCells>
  <conditionalFormatting sqref="A47">
    <cfRule type="duplicateValues" dxfId="7" priority="1"/>
  </conditionalFormatting>
  <conditionalFormatting sqref="C18:C47">
    <cfRule type="duplicateValues" dxfId="6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3B58-2999-4A34-A23A-BAE99305FBF5}">
  <sheetPr>
    <tabColor rgb="FFFF99CC"/>
  </sheetPr>
  <dimension ref="A1:I99"/>
  <sheetViews>
    <sheetView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6" sqref="B16"/>
    </sheetView>
  </sheetViews>
  <sheetFormatPr defaultRowHeight="14.4" x14ac:dyDescent="0.55000000000000004"/>
  <cols>
    <col min="1" max="1" width="6.89453125" style="92" bestFit="1" customWidth="1"/>
    <col min="2" max="2" width="10.68359375" style="92" customWidth="1"/>
    <col min="3" max="3" width="34.89453125" style="91" bestFit="1" customWidth="1"/>
    <col min="4" max="4" width="14.3125" style="91" bestFit="1" customWidth="1"/>
    <col min="5" max="5" width="20.20703125" style="91" bestFit="1" customWidth="1"/>
    <col min="6" max="6" width="14.3125" style="92" bestFit="1" customWidth="1"/>
    <col min="7" max="7" width="19.41796875" style="92" bestFit="1" customWidth="1"/>
    <col min="8" max="8" width="18.41796875" style="92" bestFit="1" customWidth="1"/>
    <col min="9" max="9" width="9.5234375" style="92" customWidth="1"/>
  </cols>
  <sheetData>
    <row r="1" spans="1:9" s="14" customFormat="1" ht="26.4" customHeight="1" thickBot="1" x14ac:dyDescent="0.85">
      <c r="A1" s="101" t="s">
        <v>0</v>
      </c>
      <c r="B1" s="101" t="s">
        <v>2920</v>
      </c>
      <c r="C1" s="102" t="s">
        <v>1629</v>
      </c>
      <c r="D1" s="101" t="s">
        <v>1631</v>
      </c>
      <c r="E1" s="102" t="s">
        <v>1630</v>
      </c>
      <c r="F1" s="101" t="s">
        <v>2</v>
      </c>
      <c r="G1" s="101" t="s">
        <v>1595</v>
      </c>
      <c r="H1" s="101" t="s">
        <v>3</v>
      </c>
      <c r="I1" s="116" t="s">
        <v>3267</v>
      </c>
    </row>
    <row r="2" spans="1:9" x14ac:dyDescent="0.55000000000000004">
      <c r="A2" s="92">
        <v>1</v>
      </c>
      <c r="B2" s="92">
        <v>1150847</v>
      </c>
      <c r="C2" s="91" t="s">
        <v>3156</v>
      </c>
      <c r="D2" s="91" t="s">
        <v>3157</v>
      </c>
      <c r="E2" s="91" t="s">
        <v>3158</v>
      </c>
      <c r="F2" s="92">
        <v>281280</v>
      </c>
      <c r="G2" s="92">
        <v>1</v>
      </c>
      <c r="H2" s="103">
        <v>45561</v>
      </c>
      <c r="I2" s="92" t="s">
        <v>3248</v>
      </c>
    </row>
    <row r="3" spans="1:9" x14ac:dyDescent="0.55000000000000004">
      <c r="A3" s="92">
        <v>2</v>
      </c>
      <c r="B3" s="92">
        <v>1150873</v>
      </c>
      <c r="C3" s="91" t="s">
        <v>3159</v>
      </c>
      <c r="D3" s="91" t="s">
        <v>3157</v>
      </c>
      <c r="E3" s="91">
        <v>772321807</v>
      </c>
      <c r="F3" s="92">
        <v>360084</v>
      </c>
      <c r="G3" s="92">
        <v>1</v>
      </c>
      <c r="H3" s="103">
        <v>45571</v>
      </c>
      <c r="I3" s="92" t="s">
        <v>3248</v>
      </c>
    </row>
    <row r="4" spans="1:9" x14ac:dyDescent="0.55000000000000004">
      <c r="A4" s="92">
        <v>3</v>
      </c>
      <c r="B4" s="92">
        <v>1150883</v>
      </c>
      <c r="C4" s="91" t="s">
        <v>3160</v>
      </c>
      <c r="D4" s="91" t="s">
        <v>3157</v>
      </c>
      <c r="E4" s="91">
        <v>778255452</v>
      </c>
      <c r="F4" s="92">
        <v>187800</v>
      </c>
      <c r="G4" s="92">
        <v>1</v>
      </c>
      <c r="H4" s="103">
        <v>45573</v>
      </c>
      <c r="I4" s="92" t="s">
        <v>3248</v>
      </c>
    </row>
    <row r="5" spans="1:9" x14ac:dyDescent="0.55000000000000004">
      <c r="A5" s="92">
        <v>4</v>
      </c>
      <c r="B5" s="92">
        <v>1150885</v>
      </c>
      <c r="C5" s="91" t="s">
        <v>3161</v>
      </c>
      <c r="D5" s="91" t="s">
        <v>3162</v>
      </c>
      <c r="E5" s="91">
        <v>76609014</v>
      </c>
      <c r="F5" s="92">
        <v>188774</v>
      </c>
      <c r="G5" s="92">
        <v>1</v>
      </c>
      <c r="H5" s="103">
        <v>45574</v>
      </c>
      <c r="I5" s="92" t="s">
        <v>3248</v>
      </c>
    </row>
    <row r="6" spans="1:9" x14ac:dyDescent="0.55000000000000004">
      <c r="A6" s="92">
        <v>5</v>
      </c>
      <c r="B6" s="92">
        <v>1150886</v>
      </c>
      <c r="C6" s="91" t="s">
        <v>3163</v>
      </c>
      <c r="D6" s="91" t="s">
        <v>3162</v>
      </c>
      <c r="E6" s="91">
        <v>769959594</v>
      </c>
      <c r="F6" s="92">
        <v>357213</v>
      </c>
      <c r="G6" s="92">
        <v>1</v>
      </c>
      <c r="H6" s="103">
        <v>45574</v>
      </c>
      <c r="I6" s="92" t="s">
        <v>3248</v>
      </c>
    </row>
    <row r="7" spans="1:9" x14ac:dyDescent="0.55000000000000004">
      <c r="A7" s="92">
        <v>6</v>
      </c>
      <c r="B7" s="92">
        <v>1150887</v>
      </c>
      <c r="C7" s="91" t="s">
        <v>3164</v>
      </c>
      <c r="E7" s="91">
        <v>763048013</v>
      </c>
      <c r="F7" s="92">
        <v>390818</v>
      </c>
      <c r="G7" s="92">
        <v>1</v>
      </c>
      <c r="H7" s="103">
        <v>45574</v>
      </c>
      <c r="I7" s="92" t="s">
        <v>3248</v>
      </c>
    </row>
    <row r="8" spans="1:9" x14ac:dyDescent="0.55000000000000004">
      <c r="A8" s="92">
        <v>7</v>
      </c>
      <c r="B8" s="92">
        <v>1150888</v>
      </c>
      <c r="C8" s="91" t="s">
        <v>3165</v>
      </c>
      <c r="E8" s="91">
        <v>756213409</v>
      </c>
      <c r="F8" s="92">
        <v>293228</v>
      </c>
      <c r="G8" s="92">
        <v>1</v>
      </c>
      <c r="H8" s="103">
        <v>45574</v>
      </c>
      <c r="I8" s="92" t="s">
        <v>3248</v>
      </c>
    </row>
    <row r="9" spans="1:9" x14ac:dyDescent="0.55000000000000004">
      <c r="A9" s="92">
        <v>8</v>
      </c>
      <c r="B9" s="92">
        <v>1150889</v>
      </c>
      <c r="C9" s="91" t="s">
        <v>3166</v>
      </c>
      <c r="E9" s="91">
        <v>759474006</v>
      </c>
      <c r="F9" s="92">
        <v>207483</v>
      </c>
      <c r="G9" s="92">
        <v>1</v>
      </c>
      <c r="H9" s="103">
        <v>45574</v>
      </c>
      <c r="I9" s="92" t="s">
        <v>3248</v>
      </c>
    </row>
    <row r="10" spans="1:9" x14ac:dyDescent="0.55000000000000004">
      <c r="A10" s="92">
        <v>9</v>
      </c>
      <c r="B10" s="92">
        <v>1150890</v>
      </c>
      <c r="C10" s="91" t="s">
        <v>3167</v>
      </c>
      <c r="E10" s="91">
        <v>761678257</v>
      </c>
      <c r="F10" s="92">
        <v>269673</v>
      </c>
      <c r="G10" s="92">
        <v>1</v>
      </c>
      <c r="H10" s="103">
        <v>45574</v>
      </c>
      <c r="I10" s="92" t="s">
        <v>3248</v>
      </c>
    </row>
    <row r="11" spans="1:9" x14ac:dyDescent="0.55000000000000004">
      <c r="A11" s="92">
        <v>10</v>
      </c>
      <c r="B11" s="92">
        <v>1150891</v>
      </c>
      <c r="C11" s="91" t="s">
        <v>3168</v>
      </c>
      <c r="E11" s="91">
        <v>761894496</v>
      </c>
      <c r="F11" s="92">
        <v>214471</v>
      </c>
      <c r="G11" s="92">
        <v>1</v>
      </c>
      <c r="H11" s="103">
        <v>45574</v>
      </c>
      <c r="I11" s="92" t="s">
        <v>3248</v>
      </c>
    </row>
    <row r="12" spans="1:9" x14ac:dyDescent="0.55000000000000004">
      <c r="A12" s="92">
        <v>11</v>
      </c>
      <c r="B12" s="92">
        <v>1150892</v>
      </c>
      <c r="C12" s="91" t="s">
        <v>3169</v>
      </c>
      <c r="E12" s="91">
        <v>778024266</v>
      </c>
      <c r="F12" s="92">
        <v>399116</v>
      </c>
      <c r="G12" s="92">
        <v>1</v>
      </c>
      <c r="H12" s="103">
        <v>45574</v>
      </c>
      <c r="I12" s="92" t="s">
        <v>3248</v>
      </c>
    </row>
    <row r="13" spans="1:9" x14ac:dyDescent="0.55000000000000004">
      <c r="A13" s="92">
        <v>12</v>
      </c>
      <c r="B13" s="92">
        <v>1150893</v>
      </c>
      <c r="C13" s="91" t="s">
        <v>3170</v>
      </c>
      <c r="F13" s="92">
        <v>441710</v>
      </c>
      <c r="G13" s="92">
        <v>1</v>
      </c>
      <c r="H13" s="103">
        <v>45574</v>
      </c>
      <c r="I13" s="92" t="s">
        <v>3248</v>
      </c>
    </row>
    <row r="14" spans="1:9" x14ac:dyDescent="0.55000000000000004">
      <c r="A14" s="92">
        <v>13</v>
      </c>
      <c r="B14" s="92">
        <v>1150894</v>
      </c>
      <c r="C14" s="91" t="s">
        <v>3171</v>
      </c>
      <c r="E14" s="91">
        <v>774554240</v>
      </c>
      <c r="F14" s="92">
        <v>251523</v>
      </c>
      <c r="G14" s="92">
        <v>1</v>
      </c>
      <c r="H14" s="103">
        <v>45574</v>
      </c>
      <c r="I14" s="92" t="s">
        <v>3248</v>
      </c>
    </row>
    <row r="15" spans="1:9" x14ac:dyDescent="0.55000000000000004">
      <c r="A15" s="92">
        <v>14</v>
      </c>
      <c r="B15" s="92">
        <v>1150895</v>
      </c>
      <c r="C15" s="91" t="s">
        <v>3172</v>
      </c>
      <c r="E15" s="91">
        <v>764178450</v>
      </c>
      <c r="F15" s="92">
        <v>411580</v>
      </c>
      <c r="G15" s="92">
        <v>1</v>
      </c>
      <c r="H15" s="103">
        <v>45574</v>
      </c>
      <c r="I15" s="92" t="s">
        <v>3248</v>
      </c>
    </row>
    <row r="16" spans="1:9" x14ac:dyDescent="0.55000000000000004">
      <c r="A16" s="92">
        <v>15</v>
      </c>
      <c r="B16" s="92">
        <v>1150896</v>
      </c>
      <c r="C16" s="91" t="s">
        <v>3173</v>
      </c>
      <c r="E16" s="91">
        <v>72363316</v>
      </c>
      <c r="F16" s="92">
        <v>180789</v>
      </c>
      <c r="G16" s="92">
        <v>1</v>
      </c>
      <c r="H16" s="103">
        <v>45574</v>
      </c>
      <c r="I16" s="92" t="s">
        <v>3248</v>
      </c>
    </row>
    <row r="17" spans="1:9" x14ac:dyDescent="0.55000000000000004">
      <c r="A17" s="92">
        <v>16</v>
      </c>
      <c r="B17" s="92">
        <v>1150897</v>
      </c>
      <c r="C17" s="91" t="s">
        <v>3174</v>
      </c>
      <c r="E17" s="91">
        <v>772686788</v>
      </c>
      <c r="F17" s="92">
        <v>450562</v>
      </c>
      <c r="G17" s="92">
        <v>1</v>
      </c>
      <c r="H17" s="103">
        <v>45574</v>
      </c>
      <c r="I17" s="92" t="s">
        <v>3248</v>
      </c>
    </row>
    <row r="18" spans="1:9" x14ac:dyDescent="0.55000000000000004">
      <c r="A18" s="92">
        <v>17</v>
      </c>
      <c r="B18" s="92">
        <v>1150898</v>
      </c>
      <c r="C18" s="91" t="s">
        <v>3175</v>
      </c>
      <c r="E18" s="91">
        <v>759389096</v>
      </c>
      <c r="F18" s="92">
        <v>282536</v>
      </c>
      <c r="G18" s="92">
        <v>1</v>
      </c>
      <c r="H18" s="103">
        <v>45574</v>
      </c>
      <c r="I18" s="92" t="s">
        <v>3248</v>
      </c>
    </row>
    <row r="19" spans="1:9" x14ac:dyDescent="0.55000000000000004">
      <c r="A19" s="92">
        <v>18</v>
      </c>
      <c r="B19" s="92">
        <v>1150899</v>
      </c>
      <c r="C19" s="91" t="s">
        <v>3176</v>
      </c>
      <c r="E19" s="91">
        <v>778872194</v>
      </c>
      <c r="F19" s="92">
        <v>201577</v>
      </c>
      <c r="G19" s="92">
        <v>1</v>
      </c>
      <c r="H19" s="103">
        <v>45574</v>
      </c>
      <c r="I19" s="92" t="s">
        <v>3248</v>
      </c>
    </row>
    <row r="20" spans="1:9" x14ac:dyDescent="0.55000000000000004">
      <c r="A20" s="92">
        <v>19</v>
      </c>
      <c r="B20" s="92">
        <v>1150900</v>
      </c>
      <c r="C20" s="91" t="s">
        <v>3177</v>
      </c>
      <c r="E20" s="91">
        <v>774869511</v>
      </c>
      <c r="F20" s="92">
        <v>247117</v>
      </c>
      <c r="G20" s="92">
        <v>1</v>
      </c>
      <c r="H20" s="103">
        <v>45574</v>
      </c>
      <c r="I20" s="92" t="s">
        <v>3248</v>
      </c>
    </row>
    <row r="21" spans="1:9" x14ac:dyDescent="0.55000000000000004">
      <c r="A21" s="92">
        <v>20</v>
      </c>
      <c r="B21" s="92">
        <v>1150907</v>
      </c>
      <c r="C21" s="91" t="s">
        <v>3178</v>
      </c>
      <c r="E21" s="91">
        <v>769374923</v>
      </c>
      <c r="F21" s="92">
        <v>223811</v>
      </c>
      <c r="G21" s="92">
        <v>1</v>
      </c>
      <c r="H21" s="103">
        <v>45577</v>
      </c>
      <c r="I21" s="92" t="s">
        <v>3248</v>
      </c>
    </row>
    <row r="22" spans="1:9" x14ac:dyDescent="0.55000000000000004">
      <c r="A22" s="92">
        <v>21</v>
      </c>
      <c r="B22" s="92">
        <v>1220458</v>
      </c>
      <c r="C22" s="91" t="s">
        <v>3179</v>
      </c>
      <c r="E22" s="91">
        <v>761615718</v>
      </c>
      <c r="F22" s="92">
        <v>238447</v>
      </c>
      <c r="G22" s="92">
        <v>1</v>
      </c>
      <c r="H22" s="103">
        <v>45583</v>
      </c>
      <c r="I22" s="92" t="s">
        <v>3249</v>
      </c>
    </row>
    <row r="23" spans="1:9" x14ac:dyDescent="0.55000000000000004">
      <c r="A23" s="92">
        <v>22</v>
      </c>
      <c r="B23" s="92">
        <v>1220457</v>
      </c>
      <c r="C23" s="91" t="s">
        <v>3180</v>
      </c>
      <c r="E23" s="91">
        <v>767199866</v>
      </c>
      <c r="F23" s="92">
        <v>386444</v>
      </c>
      <c r="G23" s="92">
        <v>1</v>
      </c>
      <c r="H23" s="103">
        <v>45583</v>
      </c>
      <c r="I23" s="92" t="s">
        <v>3249</v>
      </c>
    </row>
    <row r="24" spans="1:9" x14ac:dyDescent="0.55000000000000004">
      <c r="A24" s="92">
        <v>23</v>
      </c>
      <c r="B24" s="92">
        <v>1220459</v>
      </c>
      <c r="C24" s="91" t="s">
        <v>3181</v>
      </c>
      <c r="E24" s="91">
        <v>77346623</v>
      </c>
      <c r="F24" s="92">
        <v>379944</v>
      </c>
      <c r="G24" s="92">
        <v>1</v>
      </c>
      <c r="H24" s="103">
        <v>45583</v>
      </c>
      <c r="I24" s="92" t="s">
        <v>3249</v>
      </c>
    </row>
    <row r="25" spans="1:9" x14ac:dyDescent="0.55000000000000004">
      <c r="A25" s="92">
        <v>24</v>
      </c>
      <c r="B25" s="92">
        <v>1220466</v>
      </c>
      <c r="C25" s="91" t="s">
        <v>3182</v>
      </c>
      <c r="E25" s="91">
        <v>741604165</v>
      </c>
      <c r="F25" s="92">
        <v>196140</v>
      </c>
      <c r="G25" s="92">
        <v>1</v>
      </c>
      <c r="H25" s="103">
        <v>45583</v>
      </c>
      <c r="I25" s="92" t="s">
        <v>3249</v>
      </c>
    </row>
    <row r="26" spans="1:9" x14ac:dyDescent="0.55000000000000004">
      <c r="A26" s="92">
        <v>25</v>
      </c>
      <c r="B26" s="92">
        <v>1220468</v>
      </c>
      <c r="C26" s="91" t="s">
        <v>3183</v>
      </c>
      <c r="E26" s="91">
        <v>763459892</v>
      </c>
      <c r="F26" s="92">
        <v>229180</v>
      </c>
      <c r="G26" s="92">
        <v>1</v>
      </c>
      <c r="H26" s="103">
        <v>45583</v>
      </c>
      <c r="I26" s="92" t="s">
        <v>3249</v>
      </c>
    </row>
    <row r="27" spans="1:9" x14ac:dyDescent="0.55000000000000004">
      <c r="A27" s="92">
        <v>26</v>
      </c>
      <c r="B27" s="92">
        <v>1220489</v>
      </c>
      <c r="C27" s="91" t="s">
        <v>3184</v>
      </c>
      <c r="E27" s="91">
        <v>703408794</v>
      </c>
      <c r="F27" s="92">
        <v>262942</v>
      </c>
      <c r="G27" s="92">
        <v>1</v>
      </c>
      <c r="H27" s="103">
        <v>45583</v>
      </c>
      <c r="I27" s="92" t="s">
        <v>3249</v>
      </c>
    </row>
    <row r="28" spans="1:9" x14ac:dyDescent="0.55000000000000004">
      <c r="A28" s="92">
        <v>27</v>
      </c>
      <c r="B28" s="92">
        <v>1220491</v>
      </c>
      <c r="C28" s="91" t="s">
        <v>3185</v>
      </c>
      <c r="E28" s="91">
        <v>775981673</v>
      </c>
      <c r="F28" s="92">
        <v>229750</v>
      </c>
      <c r="G28" s="92">
        <v>1</v>
      </c>
      <c r="H28" s="103">
        <v>45585</v>
      </c>
      <c r="I28" s="92" t="s">
        <v>3249</v>
      </c>
    </row>
    <row r="29" spans="1:9" x14ac:dyDescent="0.55000000000000004">
      <c r="A29" s="92">
        <v>28</v>
      </c>
      <c r="B29" s="92">
        <v>1220505</v>
      </c>
      <c r="C29" s="91" t="s">
        <v>3186</v>
      </c>
      <c r="F29" s="92">
        <v>443567</v>
      </c>
      <c r="G29" s="92">
        <v>1</v>
      </c>
      <c r="H29" s="103">
        <v>45585</v>
      </c>
      <c r="I29" s="92" t="s">
        <v>3249</v>
      </c>
    </row>
    <row r="30" spans="1:9" x14ac:dyDescent="0.55000000000000004">
      <c r="A30" s="92">
        <v>29</v>
      </c>
      <c r="B30" s="92">
        <v>1220524</v>
      </c>
      <c r="C30" s="91" t="s">
        <v>3187</v>
      </c>
      <c r="E30" s="91">
        <v>779532439</v>
      </c>
      <c r="F30" s="92">
        <v>391709</v>
      </c>
      <c r="G30" s="92">
        <v>1</v>
      </c>
      <c r="H30" s="103">
        <v>45587</v>
      </c>
      <c r="I30" s="92" t="s">
        <v>3249</v>
      </c>
    </row>
    <row r="31" spans="1:9" x14ac:dyDescent="0.55000000000000004">
      <c r="A31" s="92">
        <v>30</v>
      </c>
      <c r="B31" s="92">
        <v>1220588</v>
      </c>
      <c r="C31" s="91" t="s">
        <v>3188</v>
      </c>
      <c r="E31" s="91">
        <v>767269394</v>
      </c>
      <c r="F31" s="92">
        <v>373004</v>
      </c>
      <c r="G31" s="92">
        <v>1</v>
      </c>
      <c r="H31" s="103">
        <v>45590</v>
      </c>
      <c r="I31" s="92" t="s">
        <v>3249</v>
      </c>
    </row>
    <row r="32" spans="1:9" x14ac:dyDescent="0.55000000000000004">
      <c r="A32" s="92">
        <v>31</v>
      </c>
      <c r="B32" s="92">
        <v>1220589</v>
      </c>
      <c r="C32" s="91" t="s">
        <v>3189</v>
      </c>
      <c r="H32" s="103">
        <v>45590</v>
      </c>
    </row>
    <row r="33" spans="1:9" x14ac:dyDescent="0.55000000000000004">
      <c r="A33" s="92">
        <v>32</v>
      </c>
      <c r="B33" s="92">
        <v>1220615</v>
      </c>
      <c r="C33" s="91" t="s">
        <v>3190</v>
      </c>
      <c r="E33" s="91">
        <v>740598881</v>
      </c>
      <c r="H33" s="103">
        <v>45592</v>
      </c>
    </row>
    <row r="34" spans="1:9" x14ac:dyDescent="0.55000000000000004">
      <c r="A34" s="92">
        <v>33</v>
      </c>
      <c r="B34" s="92">
        <v>1220616</v>
      </c>
      <c r="C34" s="91" t="s">
        <v>3191</v>
      </c>
      <c r="E34" s="91">
        <v>763340847</v>
      </c>
      <c r="F34" s="92">
        <v>263858</v>
      </c>
      <c r="G34" s="92">
        <v>1</v>
      </c>
      <c r="H34" s="103">
        <v>45592</v>
      </c>
      <c r="I34" s="92" t="s">
        <v>3249</v>
      </c>
    </row>
    <row r="35" spans="1:9" x14ac:dyDescent="0.55000000000000004">
      <c r="A35" s="92">
        <v>34</v>
      </c>
      <c r="B35" s="92">
        <v>1220623</v>
      </c>
      <c r="C35" s="91" t="s">
        <v>3192</v>
      </c>
      <c r="E35" s="91">
        <v>776878484</v>
      </c>
      <c r="F35" s="92">
        <v>248966</v>
      </c>
      <c r="G35" s="92">
        <v>1</v>
      </c>
      <c r="H35" s="103">
        <v>45592</v>
      </c>
      <c r="I35" s="92" t="s">
        <v>3249</v>
      </c>
    </row>
    <row r="36" spans="1:9" x14ac:dyDescent="0.55000000000000004">
      <c r="A36" s="92">
        <v>35</v>
      </c>
      <c r="B36" s="92">
        <v>1220632</v>
      </c>
      <c r="C36" s="91" t="s">
        <v>3193</v>
      </c>
      <c r="E36" s="91">
        <v>776501337</v>
      </c>
      <c r="F36" s="92">
        <v>163926</v>
      </c>
      <c r="G36" s="92">
        <v>1</v>
      </c>
      <c r="H36" s="103">
        <v>45592</v>
      </c>
      <c r="I36" s="92" t="s">
        <v>3249</v>
      </c>
    </row>
    <row r="37" spans="1:9" x14ac:dyDescent="0.55000000000000004">
      <c r="A37" s="92">
        <v>36</v>
      </c>
      <c r="B37" s="92">
        <v>1220633</v>
      </c>
      <c r="C37" s="91" t="s">
        <v>3194</v>
      </c>
      <c r="E37" s="91">
        <v>776501337</v>
      </c>
      <c r="F37" s="92">
        <v>258817</v>
      </c>
      <c r="G37" s="92">
        <v>1</v>
      </c>
      <c r="H37" s="103">
        <v>45592</v>
      </c>
      <c r="I37" s="92" t="s">
        <v>3249</v>
      </c>
    </row>
    <row r="38" spans="1:9" x14ac:dyDescent="0.55000000000000004">
      <c r="A38" s="92">
        <v>37</v>
      </c>
      <c r="B38" s="92">
        <v>1220634</v>
      </c>
      <c r="C38" s="91" t="s">
        <v>3195</v>
      </c>
      <c r="E38" s="91">
        <v>776501337</v>
      </c>
      <c r="F38" s="92">
        <v>335920</v>
      </c>
      <c r="G38" s="92">
        <v>1</v>
      </c>
      <c r="H38" s="103">
        <v>45592</v>
      </c>
      <c r="I38" s="92" t="s">
        <v>3249</v>
      </c>
    </row>
    <row r="39" spans="1:9" x14ac:dyDescent="0.55000000000000004">
      <c r="A39" s="92">
        <v>38</v>
      </c>
      <c r="B39" s="92">
        <v>1220637</v>
      </c>
      <c r="C39" s="91" t="s">
        <v>3196</v>
      </c>
      <c r="E39" s="91">
        <v>702895818</v>
      </c>
      <c r="F39" s="92">
        <v>343601</v>
      </c>
      <c r="G39" s="92">
        <v>1</v>
      </c>
      <c r="H39" s="103">
        <v>45592</v>
      </c>
      <c r="I39" s="92" t="s">
        <v>3249</v>
      </c>
    </row>
    <row r="40" spans="1:9" x14ac:dyDescent="0.55000000000000004">
      <c r="A40" s="92">
        <v>39</v>
      </c>
      <c r="B40" s="92">
        <v>1220639</v>
      </c>
      <c r="C40" s="91" t="s">
        <v>3197</v>
      </c>
      <c r="E40" s="91">
        <v>775496052</v>
      </c>
      <c r="F40" s="92">
        <v>258049</v>
      </c>
      <c r="G40" s="92">
        <v>1</v>
      </c>
      <c r="H40" s="103">
        <v>45592</v>
      </c>
      <c r="I40" s="92" t="s">
        <v>3249</v>
      </c>
    </row>
    <row r="41" spans="1:9" x14ac:dyDescent="0.55000000000000004">
      <c r="A41" s="92">
        <v>40</v>
      </c>
      <c r="B41" s="92">
        <v>1220650</v>
      </c>
      <c r="C41" s="91" t="s">
        <v>3198</v>
      </c>
      <c r="E41" s="91">
        <v>771382212</v>
      </c>
      <c r="F41" s="92">
        <v>354129</v>
      </c>
      <c r="G41" s="92">
        <v>1</v>
      </c>
      <c r="H41" s="103">
        <v>45592</v>
      </c>
      <c r="I41" s="92" t="s">
        <v>3249</v>
      </c>
    </row>
    <row r="42" spans="1:9" x14ac:dyDescent="0.55000000000000004">
      <c r="A42" s="92">
        <v>41</v>
      </c>
      <c r="B42" s="92">
        <v>1220658</v>
      </c>
      <c r="C42" s="91" t="s">
        <v>3199</v>
      </c>
      <c r="E42" s="91">
        <v>765423187</v>
      </c>
      <c r="F42" s="92">
        <v>396203</v>
      </c>
      <c r="G42" s="92">
        <v>1</v>
      </c>
      <c r="H42" s="103">
        <v>45593</v>
      </c>
      <c r="I42" s="92" t="s">
        <v>3249</v>
      </c>
    </row>
    <row r="43" spans="1:9" x14ac:dyDescent="0.55000000000000004">
      <c r="A43" s="92">
        <v>42</v>
      </c>
      <c r="B43" s="92">
        <v>1220660</v>
      </c>
      <c r="C43" s="91" t="s">
        <v>3200</v>
      </c>
      <c r="E43" s="91">
        <v>769682102</v>
      </c>
      <c r="F43" s="92">
        <v>269061</v>
      </c>
      <c r="G43" s="92">
        <v>1</v>
      </c>
      <c r="H43" s="103">
        <v>45594</v>
      </c>
      <c r="I43" s="92" t="s">
        <v>3249</v>
      </c>
    </row>
    <row r="44" spans="1:9" x14ac:dyDescent="0.55000000000000004">
      <c r="A44" s="92">
        <v>43</v>
      </c>
      <c r="B44" s="92">
        <v>1220675</v>
      </c>
      <c r="C44" s="91" t="s">
        <v>3201</v>
      </c>
      <c r="E44" s="91">
        <v>768340950</v>
      </c>
      <c r="F44" s="92">
        <v>313737</v>
      </c>
      <c r="G44" s="92">
        <v>1</v>
      </c>
      <c r="H44" s="103">
        <v>45594</v>
      </c>
      <c r="I44" s="92" t="s">
        <v>3249</v>
      </c>
    </row>
    <row r="45" spans="1:9" x14ac:dyDescent="0.55000000000000004">
      <c r="A45" s="92">
        <v>44</v>
      </c>
      <c r="B45" s="92">
        <v>1220676</v>
      </c>
      <c r="C45" s="91" t="s">
        <v>3202</v>
      </c>
      <c r="E45" s="91">
        <v>725050028</v>
      </c>
      <c r="F45" s="92">
        <v>191604</v>
      </c>
      <c r="G45" s="92">
        <v>1</v>
      </c>
      <c r="H45" s="103">
        <v>45594</v>
      </c>
      <c r="I45" s="92" t="s">
        <v>3249</v>
      </c>
    </row>
    <row r="46" spans="1:9" x14ac:dyDescent="0.55000000000000004">
      <c r="A46" s="92">
        <v>45</v>
      </c>
      <c r="B46" s="92">
        <v>1220677</v>
      </c>
      <c r="C46" s="91" t="s">
        <v>3203</v>
      </c>
      <c r="E46" s="91">
        <v>723857306</v>
      </c>
      <c r="F46" s="92">
        <v>298730</v>
      </c>
      <c r="G46" s="92">
        <v>1</v>
      </c>
      <c r="H46" s="103">
        <v>45594</v>
      </c>
      <c r="I46" s="92" t="s">
        <v>3249</v>
      </c>
    </row>
    <row r="47" spans="1:9" x14ac:dyDescent="0.55000000000000004">
      <c r="A47" s="92">
        <v>46</v>
      </c>
      <c r="B47" s="92">
        <v>1220678</v>
      </c>
      <c r="C47" s="91" t="s">
        <v>3204</v>
      </c>
      <c r="E47" s="91">
        <v>764105464</v>
      </c>
      <c r="F47" s="92">
        <v>351174</v>
      </c>
      <c r="G47" s="92">
        <v>1</v>
      </c>
      <c r="H47" s="103">
        <v>45594</v>
      </c>
      <c r="I47" s="92" t="s">
        <v>3249</v>
      </c>
    </row>
    <row r="48" spans="1:9" x14ac:dyDescent="0.55000000000000004">
      <c r="A48" s="92">
        <v>47</v>
      </c>
      <c r="B48" s="92">
        <v>1220679</v>
      </c>
      <c r="C48" s="91" t="s">
        <v>3205</v>
      </c>
      <c r="E48" s="91">
        <v>759737528</v>
      </c>
      <c r="F48" s="92">
        <v>169162</v>
      </c>
      <c r="G48" s="92">
        <v>1</v>
      </c>
      <c r="H48" s="103">
        <v>45594</v>
      </c>
      <c r="I48" s="92" t="s">
        <v>3249</v>
      </c>
    </row>
    <row r="49" spans="1:9" x14ac:dyDescent="0.55000000000000004">
      <c r="A49" s="92">
        <v>48</v>
      </c>
      <c r="B49" s="92">
        <v>1220688</v>
      </c>
      <c r="C49" s="91" t="s">
        <v>3206</v>
      </c>
      <c r="E49" s="91">
        <v>741937055</v>
      </c>
      <c r="F49" s="92">
        <v>448830</v>
      </c>
      <c r="G49" s="92">
        <v>1</v>
      </c>
      <c r="H49" s="103">
        <v>45595</v>
      </c>
      <c r="I49" s="92" t="s">
        <v>3249</v>
      </c>
    </row>
    <row r="50" spans="1:9" x14ac:dyDescent="0.55000000000000004">
      <c r="A50" s="92">
        <v>49</v>
      </c>
      <c r="B50" s="92">
        <v>1220690</v>
      </c>
      <c r="C50" s="91" t="s">
        <v>3207</v>
      </c>
      <c r="E50" s="91">
        <v>773868821</v>
      </c>
      <c r="F50" s="92">
        <v>220817</v>
      </c>
      <c r="G50" s="92">
        <v>1</v>
      </c>
      <c r="H50" s="103">
        <v>45595</v>
      </c>
      <c r="I50" s="92" t="s">
        <v>3249</v>
      </c>
    </row>
    <row r="51" spans="1:9" x14ac:dyDescent="0.55000000000000004">
      <c r="A51" s="92">
        <v>50</v>
      </c>
      <c r="B51" s="92">
        <v>1220720</v>
      </c>
      <c r="C51" s="91" t="s">
        <v>3208</v>
      </c>
      <c r="E51" s="91">
        <v>760395308</v>
      </c>
      <c r="F51" s="92">
        <v>300155</v>
      </c>
      <c r="G51" s="92">
        <v>1</v>
      </c>
      <c r="H51" s="103">
        <v>45595</v>
      </c>
      <c r="I51" s="92" t="s">
        <v>3249</v>
      </c>
    </row>
    <row r="52" spans="1:9" x14ac:dyDescent="0.55000000000000004">
      <c r="A52" s="92">
        <v>51</v>
      </c>
      <c r="B52" s="92">
        <v>1220723</v>
      </c>
      <c r="C52" s="91" t="s">
        <v>3209</v>
      </c>
      <c r="E52" s="91">
        <v>771310920</v>
      </c>
      <c r="F52" s="92">
        <v>368780</v>
      </c>
      <c r="G52" s="92">
        <v>1</v>
      </c>
      <c r="H52" s="103">
        <v>45595</v>
      </c>
      <c r="I52" s="92" t="s">
        <v>3249</v>
      </c>
    </row>
    <row r="53" spans="1:9" x14ac:dyDescent="0.55000000000000004">
      <c r="A53" s="92">
        <v>52</v>
      </c>
      <c r="B53" s="92">
        <v>1151121</v>
      </c>
      <c r="C53" s="91" t="s">
        <v>3210</v>
      </c>
      <c r="E53" s="91">
        <v>754645817</v>
      </c>
      <c r="F53" s="92">
        <v>355464</v>
      </c>
      <c r="G53" s="92">
        <v>1</v>
      </c>
      <c r="H53" s="103">
        <v>45604</v>
      </c>
      <c r="I53" s="92" t="s">
        <v>3248</v>
      </c>
    </row>
    <row r="54" spans="1:9" x14ac:dyDescent="0.55000000000000004">
      <c r="A54" s="92">
        <v>53</v>
      </c>
      <c r="B54" s="92">
        <v>1151122</v>
      </c>
      <c r="C54" s="91" t="s">
        <v>3211</v>
      </c>
      <c r="E54" s="91" t="s">
        <v>3212</v>
      </c>
      <c r="F54" s="92">
        <v>358039</v>
      </c>
      <c r="G54" s="92">
        <v>1</v>
      </c>
      <c r="H54" s="103">
        <v>45604</v>
      </c>
      <c r="I54" s="92" t="s">
        <v>3248</v>
      </c>
    </row>
    <row r="55" spans="1:9" x14ac:dyDescent="0.55000000000000004">
      <c r="A55" s="92">
        <v>54</v>
      </c>
      <c r="B55" s="92">
        <v>1151123</v>
      </c>
      <c r="C55" s="91" t="s">
        <v>3213</v>
      </c>
      <c r="E55" s="91">
        <v>772826996</v>
      </c>
      <c r="F55" s="92">
        <v>339898</v>
      </c>
      <c r="G55" s="92">
        <v>1</v>
      </c>
      <c r="H55" s="103">
        <v>45604</v>
      </c>
      <c r="I55" s="92" t="s">
        <v>3248</v>
      </c>
    </row>
    <row r="56" spans="1:9" x14ac:dyDescent="0.55000000000000004">
      <c r="A56" s="92">
        <v>55</v>
      </c>
      <c r="B56" s="92">
        <v>1151136</v>
      </c>
      <c r="C56" s="91" t="s">
        <v>3214</v>
      </c>
      <c r="E56" s="91">
        <v>71120185</v>
      </c>
      <c r="F56" s="92">
        <v>438856</v>
      </c>
      <c r="G56" s="92">
        <v>1</v>
      </c>
      <c r="H56" s="103">
        <v>45604</v>
      </c>
      <c r="I56" s="92" t="s">
        <v>3248</v>
      </c>
    </row>
    <row r="57" spans="1:9" x14ac:dyDescent="0.55000000000000004">
      <c r="A57" s="92">
        <v>56</v>
      </c>
      <c r="B57" s="92">
        <v>4040001</v>
      </c>
      <c r="C57" s="91" t="s">
        <v>3215</v>
      </c>
      <c r="D57" s="91" t="s">
        <v>3157</v>
      </c>
      <c r="E57" s="91">
        <v>742277120</v>
      </c>
      <c r="F57" s="92">
        <v>189681</v>
      </c>
      <c r="G57" s="92">
        <v>1</v>
      </c>
      <c r="H57" s="103">
        <v>45622</v>
      </c>
      <c r="I57" s="92" t="s">
        <v>3250</v>
      </c>
    </row>
    <row r="58" spans="1:9" x14ac:dyDescent="0.55000000000000004">
      <c r="A58" s="92">
        <v>57</v>
      </c>
      <c r="B58" s="92">
        <v>4040002</v>
      </c>
      <c r="C58" s="91" t="s">
        <v>3216</v>
      </c>
      <c r="D58" s="91" t="s">
        <v>3157</v>
      </c>
      <c r="E58" s="91">
        <v>715668273</v>
      </c>
      <c r="F58" s="92">
        <v>195910</v>
      </c>
      <c r="G58" s="92">
        <v>1</v>
      </c>
      <c r="H58" s="103">
        <v>45622</v>
      </c>
      <c r="I58" s="92" t="s">
        <v>3250</v>
      </c>
    </row>
    <row r="59" spans="1:9" x14ac:dyDescent="0.55000000000000004">
      <c r="A59" s="92">
        <v>58</v>
      </c>
      <c r="B59" s="92" t="s">
        <v>3429</v>
      </c>
      <c r="C59" s="91" t="s">
        <v>3217</v>
      </c>
      <c r="D59" s="91" t="s">
        <v>3157</v>
      </c>
      <c r="E59" s="91">
        <v>769891224</v>
      </c>
      <c r="F59" s="92">
        <v>289069</v>
      </c>
      <c r="G59" s="92">
        <v>1</v>
      </c>
      <c r="H59" s="103">
        <v>45622</v>
      </c>
      <c r="I59" s="92" t="s">
        <v>3250</v>
      </c>
    </row>
    <row r="60" spans="1:9" x14ac:dyDescent="0.55000000000000004">
      <c r="A60" s="92">
        <v>59</v>
      </c>
      <c r="B60" s="92">
        <v>4040004</v>
      </c>
      <c r="C60" s="91" t="s">
        <v>3218</v>
      </c>
      <c r="D60" s="91" t="s">
        <v>3157</v>
      </c>
      <c r="E60" s="91">
        <v>779464618</v>
      </c>
      <c r="F60" s="92">
        <v>305469</v>
      </c>
      <c r="G60" s="92">
        <v>1</v>
      </c>
      <c r="H60" s="103">
        <v>45622</v>
      </c>
      <c r="I60" s="92" t="s">
        <v>3250</v>
      </c>
    </row>
    <row r="61" spans="1:9" x14ac:dyDescent="0.55000000000000004">
      <c r="A61" s="92">
        <v>60</v>
      </c>
      <c r="B61" s="92">
        <v>4040005</v>
      </c>
      <c r="C61" s="91" t="s">
        <v>3219</v>
      </c>
      <c r="D61" s="91" t="s">
        <v>3157</v>
      </c>
      <c r="E61" s="91">
        <v>766605672</v>
      </c>
      <c r="F61" s="92">
        <v>279698</v>
      </c>
      <c r="G61" s="92">
        <v>1</v>
      </c>
      <c r="H61" s="103">
        <v>45622</v>
      </c>
      <c r="I61" s="92" t="s">
        <v>3250</v>
      </c>
    </row>
    <row r="62" spans="1:9" x14ac:dyDescent="0.55000000000000004">
      <c r="A62" s="92">
        <v>61</v>
      </c>
      <c r="B62" s="92">
        <v>4040006</v>
      </c>
      <c r="C62" s="91" t="s">
        <v>3220</v>
      </c>
      <c r="D62" s="91" t="s">
        <v>3157</v>
      </c>
      <c r="E62" s="91">
        <v>771660543</v>
      </c>
      <c r="F62" s="92">
        <v>346455</v>
      </c>
      <c r="G62" s="92">
        <v>1</v>
      </c>
      <c r="H62" s="103">
        <v>45622</v>
      </c>
      <c r="I62" s="92" t="s">
        <v>3250</v>
      </c>
    </row>
    <row r="63" spans="1:9" x14ac:dyDescent="0.55000000000000004">
      <c r="A63" s="92">
        <v>62</v>
      </c>
      <c r="B63" s="92">
        <v>4040007</v>
      </c>
      <c r="C63" s="91" t="s">
        <v>3221</v>
      </c>
      <c r="D63" s="91" t="s">
        <v>3157</v>
      </c>
      <c r="E63" s="91">
        <v>765818931</v>
      </c>
      <c r="F63" s="92">
        <v>265572</v>
      </c>
      <c r="G63" s="92">
        <v>1</v>
      </c>
      <c r="H63" s="103">
        <v>45622</v>
      </c>
      <c r="I63" s="92" t="s">
        <v>3250</v>
      </c>
    </row>
    <row r="64" spans="1:9" x14ac:dyDescent="0.55000000000000004">
      <c r="A64" s="92">
        <v>63</v>
      </c>
      <c r="B64" s="92">
        <v>4040008</v>
      </c>
      <c r="C64" s="91" t="s">
        <v>3222</v>
      </c>
      <c r="D64" s="91" t="s">
        <v>3157</v>
      </c>
      <c r="E64" s="91">
        <v>777744518</v>
      </c>
      <c r="F64" s="92">
        <v>260763</v>
      </c>
      <c r="G64" s="92">
        <v>1</v>
      </c>
      <c r="H64" s="103">
        <v>45622</v>
      </c>
      <c r="I64" s="92" t="s">
        <v>3250</v>
      </c>
    </row>
    <row r="65" spans="1:9" x14ac:dyDescent="0.55000000000000004">
      <c r="A65" s="92">
        <v>64</v>
      </c>
      <c r="B65" s="92">
        <v>4040009</v>
      </c>
      <c r="C65" s="91" t="s">
        <v>3223</v>
      </c>
      <c r="D65" s="91" t="s">
        <v>3224</v>
      </c>
      <c r="E65" s="91">
        <v>757882563</v>
      </c>
      <c r="F65" s="92">
        <v>453517</v>
      </c>
      <c r="G65" s="92">
        <v>1</v>
      </c>
      <c r="H65" s="103">
        <v>45623</v>
      </c>
      <c r="I65" s="92" t="s">
        <v>3250</v>
      </c>
    </row>
    <row r="66" spans="1:9" x14ac:dyDescent="0.55000000000000004">
      <c r="A66" s="92">
        <v>65</v>
      </c>
      <c r="B66" s="92">
        <v>4040010</v>
      </c>
      <c r="C66" s="91" t="s">
        <v>3225</v>
      </c>
      <c r="D66" s="91" t="s">
        <v>3224</v>
      </c>
      <c r="E66" s="91">
        <v>767972449</v>
      </c>
      <c r="F66" s="92">
        <v>288996</v>
      </c>
      <c r="G66" s="92">
        <v>1</v>
      </c>
      <c r="H66" s="103">
        <v>45623</v>
      </c>
      <c r="I66" s="92" t="s">
        <v>3250</v>
      </c>
    </row>
    <row r="67" spans="1:9" x14ac:dyDescent="0.55000000000000004">
      <c r="A67" s="92">
        <v>66</v>
      </c>
      <c r="B67" s="92">
        <v>4040011</v>
      </c>
      <c r="C67" s="91" t="s">
        <v>3226</v>
      </c>
      <c r="D67" s="91" t="s">
        <v>3224</v>
      </c>
      <c r="E67" s="91">
        <v>776545807</v>
      </c>
      <c r="F67" s="92">
        <v>379415</v>
      </c>
      <c r="G67" s="92">
        <v>1</v>
      </c>
      <c r="H67" s="103">
        <v>45623</v>
      </c>
      <c r="I67" s="92" t="s">
        <v>3250</v>
      </c>
    </row>
    <row r="68" spans="1:9" x14ac:dyDescent="0.55000000000000004">
      <c r="A68" s="92">
        <v>67</v>
      </c>
      <c r="B68" s="92">
        <v>4040012</v>
      </c>
      <c r="C68" s="91" t="s">
        <v>3227</v>
      </c>
      <c r="D68" s="91" t="s">
        <v>3228</v>
      </c>
      <c r="E68" s="91">
        <v>768597466</v>
      </c>
      <c r="F68" s="92">
        <v>317431</v>
      </c>
      <c r="G68" s="92">
        <v>1</v>
      </c>
      <c r="H68" s="103">
        <v>45623</v>
      </c>
      <c r="I68" s="92" t="s">
        <v>3250</v>
      </c>
    </row>
    <row r="69" spans="1:9" x14ac:dyDescent="0.55000000000000004">
      <c r="A69" s="92">
        <v>68</v>
      </c>
      <c r="B69" s="92">
        <v>4040013</v>
      </c>
      <c r="C69" s="91" t="s">
        <v>3229</v>
      </c>
      <c r="D69" s="91" t="s">
        <v>3224</v>
      </c>
      <c r="E69" s="91">
        <v>728504946</v>
      </c>
      <c r="F69" s="92">
        <v>236995</v>
      </c>
      <c r="G69" s="92">
        <v>1</v>
      </c>
      <c r="H69" s="103">
        <v>45623</v>
      </c>
      <c r="I69" s="92" t="s">
        <v>3250</v>
      </c>
    </row>
    <row r="70" spans="1:9" x14ac:dyDescent="0.55000000000000004">
      <c r="A70" s="92">
        <v>69</v>
      </c>
      <c r="B70" s="92">
        <v>4040014</v>
      </c>
      <c r="C70" s="91" t="s">
        <v>555</v>
      </c>
      <c r="D70" s="91" t="s">
        <v>3224</v>
      </c>
      <c r="E70" s="91">
        <v>741665956</v>
      </c>
      <c r="F70" s="92">
        <v>347313</v>
      </c>
      <c r="G70" s="92">
        <v>1</v>
      </c>
      <c r="H70" s="103">
        <v>45623</v>
      </c>
      <c r="I70" s="92" t="s">
        <v>3250</v>
      </c>
    </row>
    <row r="71" spans="1:9" x14ac:dyDescent="0.55000000000000004">
      <c r="A71" s="92">
        <v>70</v>
      </c>
      <c r="B71" s="92">
        <v>4040015</v>
      </c>
      <c r="C71" s="91" t="s">
        <v>3064</v>
      </c>
      <c r="D71" s="91" t="s">
        <v>3228</v>
      </c>
      <c r="E71" s="91">
        <v>777354575</v>
      </c>
      <c r="F71" s="92">
        <v>359029</v>
      </c>
      <c r="G71" s="92">
        <v>1</v>
      </c>
      <c r="H71" s="103">
        <v>45624</v>
      </c>
      <c r="I71" s="92" t="s">
        <v>3250</v>
      </c>
    </row>
    <row r="72" spans="1:9" x14ac:dyDescent="0.55000000000000004">
      <c r="A72" s="92">
        <v>71</v>
      </c>
      <c r="B72" s="92">
        <v>4040016</v>
      </c>
      <c r="C72" s="91" t="s">
        <v>3230</v>
      </c>
      <c r="D72" s="91" t="s">
        <v>3224</v>
      </c>
      <c r="E72" s="91">
        <v>774165300</v>
      </c>
      <c r="F72" s="92">
        <v>275811</v>
      </c>
      <c r="G72" s="92">
        <v>1</v>
      </c>
      <c r="H72" s="103">
        <v>45624</v>
      </c>
      <c r="I72" s="92" t="s">
        <v>3250</v>
      </c>
    </row>
    <row r="73" spans="1:9" x14ac:dyDescent="0.55000000000000004">
      <c r="A73" s="92">
        <v>72</v>
      </c>
      <c r="B73" s="92">
        <v>4040017</v>
      </c>
      <c r="C73" s="91" t="s">
        <v>3231</v>
      </c>
      <c r="D73" s="91" t="s">
        <v>3157</v>
      </c>
      <c r="E73" s="91">
        <v>764884844</v>
      </c>
      <c r="F73" s="92">
        <v>292808</v>
      </c>
      <c r="G73" s="92">
        <v>1</v>
      </c>
      <c r="H73" s="103">
        <v>45624</v>
      </c>
      <c r="I73" s="92" t="s">
        <v>3250</v>
      </c>
    </row>
    <row r="74" spans="1:9" x14ac:dyDescent="0.55000000000000004">
      <c r="A74" s="92">
        <v>73</v>
      </c>
      <c r="B74" s="92">
        <v>4040018</v>
      </c>
      <c r="C74" s="91" t="s">
        <v>3232</v>
      </c>
      <c r="D74" s="91" t="s">
        <v>3228</v>
      </c>
      <c r="E74" s="91">
        <v>779916238</v>
      </c>
      <c r="F74" s="92">
        <v>290265</v>
      </c>
      <c r="G74" s="92">
        <v>1</v>
      </c>
      <c r="H74" s="103">
        <v>45624</v>
      </c>
      <c r="I74" s="92" t="s">
        <v>3250</v>
      </c>
    </row>
    <row r="75" spans="1:9" x14ac:dyDescent="0.55000000000000004">
      <c r="A75" s="92">
        <v>74</v>
      </c>
      <c r="B75" s="92">
        <v>4040019</v>
      </c>
      <c r="C75" s="91" t="s">
        <v>555</v>
      </c>
      <c r="D75" s="91" t="s">
        <v>3224</v>
      </c>
      <c r="E75" s="91">
        <v>740087767</v>
      </c>
      <c r="F75" s="92">
        <v>245715</v>
      </c>
      <c r="G75" s="92">
        <v>1</v>
      </c>
      <c r="H75" s="103">
        <v>45626</v>
      </c>
      <c r="I75" s="92" t="s">
        <v>3250</v>
      </c>
    </row>
    <row r="76" spans="1:9" x14ac:dyDescent="0.55000000000000004">
      <c r="A76" s="92">
        <v>75</v>
      </c>
      <c r="B76" s="92">
        <v>4040020</v>
      </c>
      <c r="C76" s="91" t="s">
        <v>3233</v>
      </c>
      <c r="D76" s="91" t="s">
        <v>3224</v>
      </c>
      <c r="E76" s="91">
        <v>777648405</v>
      </c>
      <c r="F76" s="92">
        <v>293384</v>
      </c>
      <c r="G76" s="92">
        <v>1</v>
      </c>
      <c r="H76" s="103">
        <v>45627</v>
      </c>
      <c r="I76" s="92" t="s">
        <v>3250</v>
      </c>
    </row>
    <row r="77" spans="1:9" x14ac:dyDescent="0.55000000000000004">
      <c r="A77" s="92">
        <v>76</v>
      </c>
      <c r="B77" s="92">
        <v>4040021</v>
      </c>
      <c r="C77" s="91" t="s">
        <v>3234</v>
      </c>
      <c r="D77" s="91" t="s">
        <v>3228</v>
      </c>
      <c r="E77" s="91">
        <v>741248928</v>
      </c>
      <c r="F77" s="92">
        <v>546690</v>
      </c>
      <c r="G77" s="92">
        <v>1</v>
      </c>
      <c r="H77" s="103">
        <v>45705</v>
      </c>
      <c r="I77" s="92" t="s">
        <v>3250</v>
      </c>
    </row>
    <row r="78" spans="1:9" x14ac:dyDescent="0.55000000000000004">
      <c r="A78" s="92">
        <v>77</v>
      </c>
      <c r="B78" s="92">
        <v>4040022</v>
      </c>
      <c r="C78" s="91" t="s">
        <v>3235</v>
      </c>
      <c r="D78" s="91" t="s">
        <v>3228</v>
      </c>
      <c r="E78" s="91">
        <v>767626273</v>
      </c>
      <c r="F78" s="92">
        <v>609951</v>
      </c>
      <c r="G78" s="92">
        <v>1</v>
      </c>
      <c r="H78" s="103">
        <v>45705</v>
      </c>
      <c r="I78" s="92" t="s">
        <v>3250</v>
      </c>
    </row>
    <row r="79" spans="1:9" x14ac:dyDescent="0.55000000000000004">
      <c r="A79" s="92">
        <v>78</v>
      </c>
      <c r="B79" s="92">
        <v>4040023</v>
      </c>
      <c r="C79" s="91" t="s">
        <v>3236</v>
      </c>
      <c r="E79" s="91">
        <v>761015202</v>
      </c>
      <c r="F79" s="92">
        <v>560923</v>
      </c>
      <c r="G79" s="92">
        <v>1</v>
      </c>
      <c r="H79" s="103">
        <v>45706</v>
      </c>
      <c r="I79" s="92" t="s">
        <v>3250</v>
      </c>
    </row>
    <row r="80" spans="1:9" x14ac:dyDescent="0.55000000000000004">
      <c r="A80" s="92">
        <v>79</v>
      </c>
      <c r="B80" s="92">
        <v>4040024</v>
      </c>
      <c r="C80" s="91" t="s">
        <v>3237</v>
      </c>
      <c r="E80" s="91">
        <v>761544282</v>
      </c>
      <c r="F80" s="92">
        <v>600471</v>
      </c>
      <c r="G80" s="92">
        <v>1</v>
      </c>
      <c r="H80" s="103">
        <v>45706</v>
      </c>
      <c r="I80" s="92" t="s">
        <v>3250</v>
      </c>
    </row>
    <row r="81" spans="1:9" x14ac:dyDescent="0.55000000000000004">
      <c r="A81" s="92">
        <v>80</v>
      </c>
      <c r="B81" s="92">
        <v>4040025</v>
      </c>
      <c r="C81" s="91" t="s">
        <v>3238</v>
      </c>
      <c r="E81" s="91">
        <v>769772883</v>
      </c>
      <c r="F81" s="92">
        <v>549553</v>
      </c>
      <c r="G81" s="92">
        <v>1</v>
      </c>
      <c r="H81" s="103">
        <v>45706</v>
      </c>
      <c r="I81" s="92" t="s">
        <v>3250</v>
      </c>
    </row>
    <row r="82" spans="1:9" x14ac:dyDescent="0.55000000000000004">
      <c r="A82" s="92">
        <v>81</v>
      </c>
      <c r="B82" s="92">
        <v>4040026</v>
      </c>
      <c r="C82" s="91" t="s">
        <v>3239</v>
      </c>
      <c r="E82" s="91">
        <v>762664186</v>
      </c>
      <c r="H82" s="103">
        <v>45707</v>
      </c>
    </row>
    <row r="83" spans="1:9" x14ac:dyDescent="0.55000000000000004">
      <c r="A83" s="92">
        <v>82</v>
      </c>
      <c r="B83" s="92">
        <v>4040027</v>
      </c>
      <c r="C83" s="91" t="s">
        <v>3240</v>
      </c>
      <c r="E83" s="91">
        <v>767084243</v>
      </c>
      <c r="F83" s="92">
        <v>547102</v>
      </c>
      <c r="G83" s="92">
        <v>1</v>
      </c>
      <c r="H83" s="103">
        <v>45707</v>
      </c>
      <c r="I83" s="92" t="s">
        <v>3250</v>
      </c>
    </row>
    <row r="84" spans="1:9" x14ac:dyDescent="0.55000000000000004">
      <c r="A84" s="92">
        <v>83</v>
      </c>
      <c r="B84" s="92">
        <v>4040028</v>
      </c>
      <c r="C84" s="91" t="s">
        <v>1808</v>
      </c>
      <c r="E84" s="91">
        <v>774507017</v>
      </c>
      <c r="F84" s="92">
        <v>608961</v>
      </c>
      <c r="G84" s="92">
        <v>1</v>
      </c>
      <c r="H84" s="103">
        <v>45707</v>
      </c>
      <c r="I84" s="92" t="s">
        <v>3250</v>
      </c>
    </row>
    <row r="85" spans="1:9" x14ac:dyDescent="0.55000000000000004">
      <c r="A85" s="92">
        <v>84</v>
      </c>
      <c r="B85" s="92">
        <v>4040029</v>
      </c>
      <c r="C85" s="91" t="s">
        <v>3239</v>
      </c>
      <c r="E85" s="91">
        <v>762664186</v>
      </c>
      <c r="F85" s="92">
        <v>535826</v>
      </c>
      <c r="G85" s="92">
        <v>1</v>
      </c>
      <c r="H85" s="103">
        <v>45707</v>
      </c>
      <c r="I85" s="92" t="s">
        <v>3250</v>
      </c>
    </row>
    <row r="86" spans="1:9" x14ac:dyDescent="0.55000000000000004">
      <c r="A86" s="92">
        <v>85</v>
      </c>
      <c r="B86" s="92">
        <v>4040030</v>
      </c>
      <c r="C86" s="91" t="s">
        <v>2777</v>
      </c>
      <c r="E86" s="91">
        <v>775055818</v>
      </c>
      <c r="F86" s="92">
        <v>547235</v>
      </c>
      <c r="G86" s="92">
        <v>1</v>
      </c>
      <c r="H86" s="103">
        <v>45708</v>
      </c>
      <c r="I86" s="92" t="s">
        <v>3250</v>
      </c>
    </row>
    <row r="87" spans="1:9" x14ac:dyDescent="0.55000000000000004">
      <c r="A87" s="92">
        <v>86</v>
      </c>
      <c r="B87" s="92">
        <v>4040031</v>
      </c>
      <c r="C87" s="91" t="s">
        <v>3241</v>
      </c>
      <c r="E87" s="91">
        <v>771087846</v>
      </c>
      <c r="F87" s="92">
        <v>537669</v>
      </c>
      <c r="G87" s="92">
        <v>1</v>
      </c>
      <c r="H87" s="103">
        <v>45713</v>
      </c>
      <c r="I87" s="92" t="s">
        <v>3250</v>
      </c>
    </row>
    <row r="88" spans="1:9" x14ac:dyDescent="0.55000000000000004">
      <c r="A88" s="92">
        <v>87</v>
      </c>
      <c r="B88" s="92">
        <v>4040032</v>
      </c>
      <c r="C88" s="91" t="s">
        <v>3242</v>
      </c>
      <c r="E88" s="91">
        <v>765454701</v>
      </c>
      <c r="F88" s="92">
        <v>437478</v>
      </c>
      <c r="G88" s="92">
        <v>1</v>
      </c>
      <c r="H88" s="103">
        <v>45713</v>
      </c>
      <c r="I88" s="92" t="s">
        <v>3250</v>
      </c>
    </row>
    <row r="89" spans="1:9" x14ac:dyDescent="0.55000000000000004">
      <c r="A89" s="92">
        <v>88</v>
      </c>
      <c r="B89" s="92">
        <v>4040033</v>
      </c>
      <c r="C89" s="91" t="s">
        <v>3243</v>
      </c>
      <c r="E89" s="91">
        <v>770575297</v>
      </c>
      <c r="F89" s="92" t="s">
        <v>3247</v>
      </c>
      <c r="G89" s="92">
        <v>2</v>
      </c>
      <c r="H89" s="103">
        <v>45721</v>
      </c>
      <c r="I89" s="92" t="s">
        <v>3250</v>
      </c>
    </row>
    <row r="90" spans="1:9" x14ac:dyDescent="0.55000000000000004">
      <c r="A90" s="92">
        <v>90</v>
      </c>
      <c r="B90" s="92">
        <v>4040034</v>
      </c>
      <c r="C90" s="91" t="s">
        <v>3244</v>
      </c>
      <c r="E90" s="91">
        <v>761870250</v>
      </c>
      <c r="F90" s="92">
        <v>560774</v>
      </c>
      <c r="G90" s="92">
        <v>1</v>
      </c>
      <c r="H90" s="103">
        <v>45721</v>
      </c>
      <c r="I90" s="92" t="s">
        <v>3250</v>
      </c>
    </row>
    <row r="91" spans="1:9" x14ac:dyDescent="0.55000000000000004">
      <c r="A91" s="92">
        <v>91</v>
      </c>
      <c r="B91" s="92">
        <v>4040035</v>
      </c>
      <c r="C91" s="91" t="s">
        <v>3245</v>
      </c>
      <c r="E91" s="91">
        <v>770606480</v>
      </c>
      <c r="F91" s="92">
        <v>511827</v>
      </c>
      <c r="G91" s="92">
        <v>1</v>
      </c>
      <c r="H91" s="103">
        <v>45721</v>
      </c>
      <c r="I91" s="92" t="s">
        <v>3250</v>
      </c>
    </row>
    <row r="92" spans="1:9" x14ac:dyDescent="0.55000000000000004">
      <c r="A92" s="92">
        <v>92</v>
      </c>
      <c r="B92" s="92">
        <v>4040036</v>
      </c>
      <c r="C92" s="91" t="s">
        <v>3246</v>
      </c>
      <c r="E92" s="91">
        <v>771258002</v>
      </c>
      <c r="F92" s="92">
        <v>405764</v>
      </c>
      <c r="G92" s="92">
        <v>1</v>
      </c>
      <c r="H92" s="103">
        <v>45721</v>
      </c>
      <c r="I92" s="92" t="s">
        <v>3250</v>
      </c>
    </row>
    <row r="93" spans="1:9" s="95" customFormat="1" ht="18.3" x14ac:dyDescent="0.7">
      <c r="A93" s="93"/>
      <c r="B93" s="93"/>
      <c r="C93" s="94"/>
      <c r="D93" s="94"/>
      <c r="E93" s="94"/>
      <c r="F93" s="93">
        <f>COUNTA(F2:F92)</f>
        <v>88</v>
      </c>
      <c r="G93" s="93">
        <f>SUM(G2:G92)</f>
        <v>89</v>
      </c>
      <c r="H93" s="93"/>
      <c r="I93" s="93"/>
    </row>
    <row r="94" spans="1:9" ht="14.7" thickBot="1" x14ac:dyDescent="0.6">
      <c r="G94" s="98"/>
      <c r="H94" s="98"/>
    </row>
    <row r="95" spans="1:9" ht="15" thickTop="1" thickBot="1" x14ac:dyDescent="0.6">
      <c r="F95" s="96"/>
      <c r="G95" s="100" t="s">
        <v>3251</v>
      </c>
      <c r="H95" s="100">
        <f>COUNTIF(I2:I92,"AG")</f>
        <v>24</v>
      </c>
      <c r="I95" s="97"/>
    </row>
    <row r="96" spans="1:9" ht="15" thickTop="1" thickBot="1" x14ac:dyDescent="0.6">
      <c r="F96" s="96"/>
      <c r="G96" s="100" t="s">
        <v>3252</v>
      </c>
      <c r="H96" s="100">
        <f>COUNTIF(I2:I92,"PK")</f>
        <v>29</v>
      </c>
      <c r="I96" s="97"/>
    </row>
    <row r="97" spans="6:9" ht="15" thickTop="1" thickBot="1" x14ac:dyDescent="0.6">
      <c r="F97" s="96"/>
      <c r="G97" s="100" t="s">
        <v>3250</v>
      </c>
      <c r="H97" s="100">
        <f>COUNTIF(I2:I92,"SEGAR")</f>
        <v>35</v>
      </c>
      <c r="I97" s="97"/>
    </row>
    <row r="98" spans="6:9" ht="15" thickTop="1" thickBot="1" x14ac:dyDescent="0.6">
      <c r="F98" s="96"/>
      <c r="G98" s="100" t="s">
        <v>2832</v>
      </c>
      <c r="H98" s="100">
        <f>SUM(H95:H97)</f>
        <v>88</v>
      </c>
      <c r="I98" s="97"/>
    </row>
    <row r="99" spans="6:9" ht="14.7" thickTop="1" x14ac:dyDescent="0.55000000000000004">
      <c r="G99" s="99"/>
      <c r="H99" s="99"/>
    </row>
  </sheetData>
  <autoFilter ref="A1:J93" xr:uid="{B16D3B58-2999-4A34-A23A-BAE99305FBF5}"/>
  <conditionalFormatting sqref="B1">
    <cfRule type="duplicateValues" dxfId="5" priority="5"/>
  </conditionalFormatting>
  <conditionalFormatting sqref="C1">
    <cfRule type="duplicateValues" dxfId="4" priority="1"/>
  </conditionalFormatting>
  <conditionalFormatting sqref="E1">
    <cfRule type="duplicateValues" dxfId="3" priority="2"/>
  </conditionalFormatting>
  <conditionalFormatting sqref="F1">
    <cfRule type="duplicateValues" dxfId="2" priority="4"/>
    <cfRule type="duplicateValues" dxfId="1" priority="6"/>
  </conditionalFormatting>
  <conditionalFormatting sqref="I1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HT</vt:lpstr>
      <vt:lpstr>ESTATE</vt:lpstr>
      <vt:lpstr>BOX DETAILS</vt:lpstr>
      <vt:lpstr>SMR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2025-12-21T17:13:40Z</dcterms:modified>
</cp:coreProperties>
</file>